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filterPrivacy="1" codeName="ThisWorkbook" hidePivotFieldList="1"/>
  <xr:revisionPtr revIDLastSave="0" documentId="13_ncr:1_{61F90430-2AB1-4345-8011-CB6B314F7764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DirectorRating" sheetId="3" r:id="rId1"/>
    <sheet name="(DR)EDA" sheetId="4" r:id="rId2"/>
    <sheet name="ActorRanking" sheetId="2" r:id="rId3"/>
  </sheets>
  <definedNames>
    <definedName name="ExternalData_1" localSheetId="2" hidden="1">ActorRanking!$D$5:$J$194</definedName>
    <definedName name="ExternalData_2" localSheetId="0" hidden="1">DirectorRating!$D$4:$K$120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4" i="3" l="1"/>
  <c r="AA24" i="3"/>
  <c r="Q20" i="3"/>
  <c r="M20" i="3"/>
  <c r="M16" i="3"/>
  <c r="N11" i="3" l="1"/>
  <c r="Y24" i="3" l="1"/>
  <c r="T24" i="3"/>
  <c r="P11" i="3"/>
  <c r="N12" i="3" s="1"/>
  <c r="O11" i="3"/>
  <c r="R20" i="3"/>
  <c r="I5" i="4" l="1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Z6" i="3" l="1"/>
  <c r="U6" i="3"/>
  <c r="P6" i="3"/>
  <c r="AE11" i="3"/>
  <c r="AD11" i="3"/>
  <c r="AC11" i="3"/>
  <c r="AB11" i="3"/>
  <c r="AA11" i="3"/>
  <c r="X11" i="3"/>
  <c r="W11" i="3"/>
  <c r="V11" i="3"/>
  <c r="U11" i="3"/>
  <c r="T11" i="3"/>
  <c r="Q11" i="3"/>
  <c r="M11" i="3"/>
  <c r="Q16" i="3" l="1"/>
  <c r="U12" i="3"/>
  <c r="T16" i="3" s="1"/>
  <c r="AB12" i="3"/>
  <c r="AE16" i="3" s="1"/>
  <c r="Y6" i="3"/>
  <c r="X6" i="3"/>
  <c r="W6" i="3"/>
  <c r="T6" i="3"/>
  <c r="S6" i="3"/>
  <c r="R6" i="3"/>
  <c r="O6" i="3"/>
  <c r="N6" i="3"/>
  <c r="M6" i="3"/>
  <c r="X16" i="3" l="1"/>
  <c r="AA1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D2439D-5FEB-4839-9E95-5CB88C55A42E}" keepAlive="1" name="Query - BollywoodActorRanking" description="Connection to the 'BollywoodActorRanking' query in the workbook." type="5" refreshedVersion="6" background="1" saveData="1">
    <dbPr connection="Provider=Microsoft.Mashup.OleDb.1;Data Source=$Workbook$;Location=BollywoodActorRanking;Extended Properties=&quot;&quot;" command="SELECT * FROM [BollywoodActorRanking]"/>
  </connection>
  <connection id="2" xr16:uid="{DFD1E153-F9BE-4D64-9963-30C1E554DEC4}" keepAlive="1" name="Query - BollywoodDirectorRanking" description="Connection to the 'BollywoodDirectorRanking' query in the workbook." type="5" refreshedVersion="6" background="1" saveData="1">
    <dbPr connection="Provider=Microsoft.Mashup.OleDb.1;Data Source=$Workbook$;Location=BollywoodDirectorRanking;Extended Properties=&quot;&quot;" command="SELECT * FROM [BollywoodDirectorRanking]"/>
  </connection>
</connections>
</file>

<file path=xl/sharedStrings.xml><?xml version="1.0" encoding="utf-8"?>
<sst xmlns="http://schemas.openxmlformats.org/spreadsheetml/2006/main" count="693" uniqueCount="523">
  <si>
    <t>actorId</t>
  </si>
  <si>
    <t>actorName</t>
  </si>
  <si>
    <t>movieCount</t>
  </si>
  <si>
    <t>ratingSum</t>
  </si>
  <si>
    <t>googleHits</t>
  </si>
  <si>
    <t>normalizedGoogleRank</t>
  </si>
  <si>
    <t>normalizedRating</t>
  </si>
  <si>
    <t>Aamir Khan</t>
  </si>
  <si>
    <t>7.342830181121826</t>
  </si>
  <si>
    <t>Shah Rukh Khan</t>
  </si>
  <si>
    <t>7.884580135345459</t>
  </si>
  <si>
    <t>Salman Khan</t>
  </si>
  <si>
    <t>10</t>
  </si>
  <si>
    <t>Katrina Kaif</t>
  </si>
  <si>
    <t>6.465700149536133</t>
  </si>
  <si>
    <t>Deepika Padukone</t>
  </si>
  <si>
    <t>8.735910415649414</t>
  </si>
  <si>
    <t>Hrithik Roshan</t>
  </si>
  <si>
    <t>7.832980155944824</t>
  </si>
  <si>
    <t>Priyanka Chopra</t>
  </si>
  <si>
    <t>9.071279525756836</t>
  </si>
  <si>
    <t>Kareena Kapoor</t>
  </si>
  <si>
    <t>8.581119537353516</t>
  </si>
  <si>
    <t>Ranbir Kapoor</t>
  </si>
  <si>
    <t>5.794960021972656</t>
  </si>
  <si>
    <t>Kajol</t>
  </si>
  <si>
    <t>5.588580131530762</t>
  </si>
  <si>
    <t>John Abraham</t>
  </si>
  <si>
    <t>7.729790210723877</t>
  </si>
  <si>
    <t>Amitabh Bachchan</t>
  </si>
  <si>
    <t>8.142560005187988</t>
  </si>
  <si>
    <t>Sonakshi Sinha</t>
  </si>
  <si>
    <t>3.4731600284576416</t>
  </si>
  <si>
    <t>Alia Bhatt</t>
  </si>
  <si>
    <t>4.066510200500488</t>
  </si>
  <si>
    <t>Ajay Devgn</t>
  </si>
  <si>
    <t>7.6265997886657715</t>
  </si>
  <si>
    <t>Asin</t>
  </si>
  <si>
    <t>1.0891799926757812</t>
  </si>
  <si>
    <t>Farhan Akhtar</t>
  </si>
  <si>
    <t>Arjun Kapoor</t>
  </si>
  <si>
    <t>5.356400012969971</t>
  </si>
  <si>
    <t>Akshay Kumar</t>
  </si>
  <si>
    <t>6.0529398918151855</t>
  </si>
  <si>
    <t>Anushka Sharma</t>
  </si>
  <si>
    <t>4.401879787445068</t>
  </si>
  <si>
    <t>Vidya Balan</t>
  </si>
  <si>
    <t>4.453470230102539</t>
  </si>
  <si>
    <t>Aishwarya Rai Bachchan</t>
  </si>
  <si>
    <t>5.9755401611328125</t>
  </si>
  <si>
    <t>Ranveer Singh</t>
  </si>
  <si>
    <t>3.8859200477600098</t>
  </si>
  <si>
    <t>Vir Das</t>
  </si>
  <si>
    <t>6.852670192718506</t>
  </si>
  <si>
    <t>Shahid Kapoor</t>
  </si>
  <si>
    <t>5.640170097351074</t>
  </si>
  <si>
    <t>Saif Ali Khan</t>
  </si>
  <si>
    <t>5.536980152130127</t>
  </si>
  <si>
    <t>Anil Kapoor</t>
  </si>
  <si>
    <t>Prakash Raj</t>
  </si>
  <si>
    <t>4.479269981384277</t>
  </si>
  <si>
    <t>Sonam Kapoor</t>
  </si>
  <si>
    <t>4.505070209503174</t>
  </si>
  <si>
    <t>Sanjay Kapoor</t>
  </si>
  <si>
    <t>6.3625102043151855</t>
  </si>
  <si>
    <t>Abhishek Bachchan</t>
  </si>
  <si>
    <t>4.247089862823486</t>
  </si>
  <si>
    <t>Imran Khan</t>
  </si>
  <si>
    <t>3.6279399394989014</t>
  </si>
  <si>
    <t>Rekha</t>
  </si>
  <si>
    <t>4.814640045166016</t>
  </si>
  <si>
    <t>Tabu</t>
  </si>
  <si>
    <t>Madhavan</t>
  </si>
  <si>
    <t>3.9375200271606445</t>
  </si>
  <si>
    <t>Sanjay Dutt</t>
  </si>
  <si>
    <t>5.021029949188232</t>
  </si>
  <si>
    <t>Parineeti Chopra</t>
  </si>
  <si>
    <t>2.8978700637817383</t>
  </si>
  <si>
    <t>Madhuri Dixit</t>
  </si>
  <si>
    <t>4.350279808044434</t>
  </si>
  <si>
    <t>Preity Zinta</t>
  </si>
  <si>
    <t>3.259040117263794</t>
  </si>
  <si>
    <t>Govinda</t>
  </si>
  <si>
    <t>4.685649871826172</t>
  </si>
  <si>
    <t>Emraan Hashmi</t>
  </si>
  <si>
    <t>3.2177600860595703</t>
  </si>
  <si>
    <t>Bipasha Basu</t>
  </si>
  <si>
    <t>3.7053399085998535</t>
  </si>
  <si>
    <t>Uday Chopra</t>
  </si>
  <si>
    <t>1.7988799810409546</t>
  </si>
  <si>
    <t>Ritesh Deshmukh</t>
  </si>
  <si>
    <t>1.8014600276947021</t>
  </si>
  <si>
    <t>Rishi Kapoor</t>
  </si>
  <si>
    <t>3.4060800075531006</t>
  </si>
  <si>
    <t>Kangana Ranaut</t>
  </si>
  <si>
    <t>3.2332398891448975</t>
  </si>
  <si>
    <t>Dia Mirza</t>
  </si>
  <si>
    <t>5.227409839630127</t>
  </si>
  <si>
    <t>Amrish Puri</t>
  </si>
  <si>
    <t>1.3190399408340454</t>
  </si>
  <si>
    <t>Amrita Rao</t>
  </si>
  <si>
    <t>2.3122599124908447</t>
  </si>
  <si>
    <t>Lara Dutta</t>
  </si>
  <si>
    <t>Om Puri</t>
  </si>
  <si>
    <t>4.1697001457214355</t>
  </si>
  <si>
    <t>Kiron Kher</t>
  </si>
  <si>
    <t>1.0613199472427368</t>
  </si>
  <si>
    <t>Mallika Sherawat</t>
  </si>
  <si>
    <t>2.722440004348755</t>
  </si>
  <si>
    <t>Sonu Sood</t>
  </si>
  <si>
    <t>3.122309923171997</t>
  </si>
  <si>
    <t>Nana Patekar</t>
  </si>
  <si>
    <t>1.442870020866394</t>
  </si>
  <si>
    <t>Vinod Khanna</t>
  </si>
  <si>
    <t>1.623460054397583</t>
  </si>
  <si>
    <t>Kalki Koechlin</t>
  </si>
  <si>
    <t>1.976889967918396</t>
  </si>
  <si>
    <t>Rani Mukerji</t>
  </si>
  <si>
    <t>1.99235999584198</t>
  </si>
  <si>
    <t>Tusshar Kapoor</t>
  </si>
  <si>
    <t>1.4222300052642822</t>
  </si>
  <si>
    <t>Arjun Rampal</t>
  </si>
  <si>
    <t>2.2245399951934814</t>
  </si>
  <si>
    <t>Paresh Rawal</t>
  </si>
  <si>
    <t>1.4506100416183472</t>
  </si>
  <si>
    <t>Naseeruddin Shah</t>
  </si>
  <si>
    <t>1.6157200336456299</t>
  </si>
  <si>
    <t>Randeep Hooda</t>
  </si>
  <si>
    <t>1.871109962463379</t>
  </si>
  <si>
    <t>Jaya Bhaduri</t>
  </si>
  <si>
    <t>1.178189992904663</t>
  </si>
  <si>
    <t>Karisma Kapoor</t>
  </si>
  <si>
    <t>Sharman Joshi</t>
  </si>
  <si>
    <t>1.329360008239746</t>
  </si>
  <si>
    <t>Boman Irani</t>
  </si>
  <si>
    <t>2.0697600841522217</t>
  </si>
  <si>
    <t>Satish Shah</t>
  </si>
  <si>
    <t>1.9897799491882324</t>
  </si>
  <si>
    <t>Arshad Warsi</t>
  </si>
  <si>
    <t>1.556380033493042</t>
  </si>
  <si>
    <t>Raj Babbar</t>
  </si>
  <si>
    <t>1.6131399869918823</t>
  </si>
  <si>
    <t>Shilpa Shetty</t>
  </si>
  <si>
    <t>Vivek Oberoi</t>
  </si>
  <si>
    <t>2.2967801094055176</t>
  </si>
  <si>
    <t>Anupam Kher</t>
  </si>
  <si>
    <t>2.6914799213409424</t>
  </si>
  <si>
    <t>Sameera Reddy</t>
  </si>
  <si>
    <t>1.9510899782180786</t>
  </si>
  <si>
    <t>Sunny Deol</t>
  </si>
  <si>
    <t>2.7688798904418945</t>
  </si>
  <si>
    <t>Akshaye Khanna</t>
  </si>
  <si>
    <t>1.2803399562835693</t>
  </si>
  <si>
    <t>Sunil Shetty</t>
  </si>
  <si>
    <t>2.4412500858306885</t>
  </si>
  <si>
    <t>Sohail Khan</t>
  </si>
  <si>
    <t>2.967519998550415</t>
  </si>
  <si>
    <t>Esha Deol</t>
  </si>
  <si>
    <t>2.3870699405670166</t>
  </si>
  <si>
    <t>Sonali Kulkarni</t>
  </si>
  <si>
    <t>1.6389299631118774</t>
  </si>
  <si>
    <t>Rimi Sen</t>
  </si>
  <si>
    <t>1.6337699890136719</t>
  </si>
  <si>
    <t>Sushmita Sen</t>
  </si>
  <si>
    <t>2.3741700649261475</t>
  </si>
  <si>
    <t>Gracy Singh</t>
  </si>
  <si>
    <t>1.5228400230407715</t>
  </si>
  <si>
    <t>Kunal Khemu</t>
  </si>
  <si>
    <t>1.2161099910736084</t>
  </si>
  <si>
    <t>Juhi Chawla</t>
  </si>
  <si>
    <t>2.247760057449341</t>
  </si>
  <si>
    <t>Vinay Pathak</t>
  </si>
  <si>
    <t>1.2447400093078613</t>
  </si>
  <si>
    <t>Dharmendra</t>
  </si>
  <si>
    <t>2.2167999744415283</t>
  </si>
  <si>
    <t>Ranvir Shorey</t>
  </si>
  <si>
    <t>1.1740599870681763</t>
  </si>
  <si>
    <t>Isha Koppikar</t>
  </si>
  <si>
    <t>1.6002399921417236</t>
  </si>
  <si>
    <t>Soha Ali Khan</t>
  </si>
  <si>
    <t>2.7172799110412598</t>
  </si>
  <si>
    <t>Johnny Lever</t>
  </si>
  <si>
    <t>2.503159999847412</t>
  </si>
  <si>
    <t>Ayesha Takia</t>
  </si>
  <si>
    <t>2.4670400619506836</t>
  </si>
  <si>
    <t>Saurabh Shukla</t>
  </si>
  <si>
    <t>1.2597099542617798</t>
  </si>
  <si>
    <t>Konkona Sen Sharma</t>
  </si>
  <si>
    <t>1.3783799409866333</t>
  </si>
  <si>
    <t>Ameesha Patel</t>
  </si>
  <si>
    <t>1.4944700002670288</t>
  </si>
  <si>
    <t>Zayed Khan</t>
  </si>
  <si>
    <t>2.188430070877075</t>
  </si>
  <si>
    <t>Neha Dhupia</t>
  </si>
  <si>
    <t>2.162630081176758</t>
  </si>
  <si>
    <t>Irrfan Khan</t>
  </si>
  <si>
    <t>1.6879500150680542</t>
  </si>
  <si>
    <t>Fardeen Khan</t>
  </si>
  <si>
    <t>1.4609299898147583</t>
  </si>
  <si>
    <t>Mahesh Manjrekar</t>
  </si>
  <si>
    <t>1.1456799507141113</t>
  </si>
  <si>
    <t>Shakti Kapoor</t>
  </si>
  <si>
    <t>2.412869930267334</t>
  </si>
  <si>
    <t>Shiney Ahuja</t>
  </si>
  <si>
    <t>1.3809599876403809</t>
  </si>
  <si>
    <t>Shreyas Talpade</t>
  </si>
  <si>
    <t>1.2153300046920776</t>
  </si>
  <si>
    <t>Minissha Lamba</t>
  </si>
  <si>
    <t>1.7963000535964966</t>
  </si>
  <si>
    <t>Jimmy Shergill</t>
  </si>
  <si>
    <t>1.4918899536132812</t>
  </si>
  <si>
    <t>Manisha Koirala</t>
  </si>
  <si>
    <t>2.105870008468628</t>
  </si>
  <si>
    <t>Atul Kulkarni</t>
  </si>
  <si>
    <t>1.2777600288391113</t>
  </si>
  <si>
    <t>Amrita Arora</t>
  </si>
  <si>
    <t>1.6105600595474243</t>
  </si>
  <si>
    <t>Neil Nitin Mukesh</t>
  </si>
  <si>
    <t>1.471250057220459</t>
  </si>
  <si>
    <t>Rajat Kapoor</t>
  </si>
  <si>
    <t>1.7137500047683716</t>
  </si>
  <si>
    <t>Aftab Shivdasani</t>
  </si>
  <si>
    <t>1.2984000444412231</t>
  </si>
  <si>
    <t>Ashmit Patel</t>
  </si>
  <si>
    <t>1.235200047492981</t>
  </si>
  <si>
    <t>Dimple Kapadia</t>
  </si>
  <si>
    <t>1.6853699684143066</t>
  </si>
  <si>
    <t>Urmila Matondkar</t>
  </si>
  <si>
    <t>1.672469973564148</t>
  </si>
  <si>
    <t>Prem Chopra</t>
  </si>
  <si>
    <t>2.570230007171631</t>
  </si>
  <si>
    <t>Sushant Singh</t>
  </si>
  <si>
    <t>2.2116498947143555</t>
  </si>
  <si>
    <t>Rahul Dev</t>
  </si>
  <si>
    <t>2.5315399169921875</t>
  </si>
  <si>
    <t>Kay Kay Menon</t>
  </si>
  <si>
    <t>1.473829984664917</t>
  </si>
  <si>
    <t>Darshan Jariwala</t>
  </si>
  <si>
    <t>1.033460021018982</t>
  </si>
  <si>
    <t>Antara Mali</t>
  </si>
  <si>
    <t>1.6956900358200073</t>
  </si>
  <si>
    <t>Jackie Shroff</t>
  </si>
  <si>
    <t>1.8969099521636963</t>
  </si>
  <si>
    <t>Vrajesh Hirjee</t>
  </si>
  <si>
    <t>1.0283000469207764</t>
  </si>
  <si>
    <t>Arbaaz Khan</t>
  </si>
  <si>
    <t>1.6028200387954712</t>
  </si>
  <si>
    <t>Udita Goswami</t>
  </si>
  <si>
    <t>1.587339997291565</t>
  </si>
  <si>
    <t>Rana Jung Bahadur</t>
  </si>
  <si>
    <t>1.0948599576950073</t>
  </si>
  <si>
    <t>Abhay Deol</t>
  </si>
  <si>
    <t>Neetu Chandra</t>
  </si>
  <si>
    <t>Sanjay Mishra</t>
  </si>
  <si>
    <t>1.9691499471664429</t>
  </si>
  <si>
    <t>Priyanshu Chatterjee</t>
  </si>
  <si>
    <t>1.0597699880599976</t>
  </si>
  <si>
    <t>Raveena Tandon</t>
  </si>
  <si>
    <t>2.3096799850463867</t>
  </si>
  <si>
    <t>Mahie Gill</t>
  </si>
  <si>
    <t>1.282920002937317</t>
  </si>
  <si>
    <t>Sharat Saxena</t>
  </si>
  <si>
    <t>1.06905996799469</t>
  </si>
  <si>
    <t>Mithun Chakraborty</t>
  </si>
  <si>
    <t>1.4093300104141235</t>
  </si>
  <si>
    <t>Bobby Deol</t>
  </si>
  <si>
    <t>1.5666999816894531</t>
  </si>
  <si>
    <t>Tinnu Anand</t>
  </si>
  <si>
    <t>1.0339800119400024</t>
  </si>
  <si>
    <t>Deepak Dobriyal</t>
  </si>
  <si>
    <t>1.0313999652862549</t>
  </si>
  <si>
    <t>Rajpal Yadav</t>
  </si>
  <si>
    <t>1.267449975013733</t>
  </si>
  <si>
    <t>Divya Dutta</t>
  </si>
  <si>
    <t>2.0491199493408203</t>
  </si>
  <si>
    <t>Rajat Bedi</t>
  </si>
  <si>
    <t>1.0860899686813354</t>
  </si>
  <si>
    <t>Rahul Bose</t>
  </si>
  <si>
    <t>1.7756600379943848</t>
  </si>
  <si>
    <t>Parvin Dabas</t>
  </si>
  <si>
    <t>1.0427500009536743</t>
  </si>
  <si>
    <t>Asrani</t>
  </si>
  <si>
    <t>1.4015899896621704</t>
  </si>
  <si>
    <t>Raghuvir Yadav</t>
  </si>
  <si>
    <t>1.041200041770935</t>
  </si>
  <si>
    <t>Avtar Gill</t>
  </si>
  <si>
    <t>1.1170400381088257</t>
  </si>
  <si>
    <t>Aashish Chaudhary</t>
  </si>
  <si>
    <t>1.071120023727417</t>
  </si>
  <si>
    <t>Laxmikant Berde</t>
  </si>
  <si>
    <t>1.0716400146484375</t>
  </si>
  <si>
    <t>Nandita Das</t>
  </si>
  <si>
    <t>1.876270055770874</t>
  </si>
  <si>
    <t>Mukesh Tiwari</t>
  </si>
  <si>
    <t>1.4299700260162354</t>
  </si>
  <si>
    <t>Mahima Chaudhry</t>
  </si>
  <si>
    <t>1.183859944343567</t>
  </si>
  <si>
    <t>Gulshan Grover</t>
  </si>
  <si>
    <t>1.2571300268173218</t>
  </si>
  <si>
    <t>Vidya Malvade</t>
  </si>
  <si>
    <t>Yashpal Sharma</t>
  </si>
  <si>
    <t>1.1080199480056763</t>
  </si>
  <si>
    <t>Manoj Bajpayee</t>
  </si>
  <si>
    <t>1.3938499689102173</t>
  </si>
  <si>
    <t>Ashutosh Rana</t>
  </si>
  <si>
    <t>1.2305500507354736</t>
  </si>
  <si>
    <t>Ravi Kishan</t>
  </si>
  <si>
    <t>1.4996299743652344</t>
  </si>
  <si>
    <t>Dino Morea</t>
  </si>
  <si>
    <t>1.5073699951171875</t>
  </si>
  <si>
    <t>Tanushree Dutta</t>
  </si>
  <si>
    <t>Zakir Hussain</t>
  </si>
  <si>
    <t>Asif Basra</t>
  </si>
  <si>
    <t>1.0489399433135986</t>
  </si>
  <si>
    <t>Sachin Khedekar</t>
  </si>
  <si>
    <t>1.084280014038086</t>
  </si>
  <si>
    <t>Celina Jaitly</t>
  </si>
  <si>
    <t>1.2401000261306763</t>
  </si>
  <si>
    <t>Raima Sen</t>
  </si>
  <si>
    <t>1.824679970741272</t>
  </si>
  <si>
    <t>Gul Panag</t>
  </si>
  <si>
    <t>1.6905299425125122</t>
  </si>
  <si>
    <t>Rakesh Bedi</t>
  </si>
  <si>
    <t>1.193660020828247</t>
  </si>
  <si>
    <t>Rati Agnihotri</t>
  </si>
  <si>
    <t>1.1544500589370728</t>
  </si>
  <si>
    <t>Aarti Chhabria</t>
  </si>
  <si>
    <t>1.2958199977874756</t>
  </si>
  <si>
    <t>Satish Kaushik</t>
  </si>
  <si>
    <t>1.2514499425888062</t>
  </si>
  <si>
    <t>Seema Biswas</t>
  </si>
  <si>
    <t>1.1412899494171143</t>
  </si>
  <si>
    <t>Sanjay Suri</t>
  </si>
  <si>
    <t>1.3345199823379517</t>
  </si>
  <si>
    <t>Arun Bakshi</t>
  </si>
  <si>
    <t>1.1343300342559814</t>
  </si>
  <si>
    <t>Arya Babbar</t>
  </si>
  <si>
    <t>1.2726099491119385</t>
  </si>
  <si>
    <t>Namrata Shirodkar</t>
  </si>
  <si>
    <t>1.2426799535751343</t>
  </si>
  <si>
    <t>Sharad S. Kapoor</t>
  </si>
  <si>
    <t>1.2431999444961548</t>
  </si>
  <si>
    <t>Farida Jalal</t>
  </si>
  <si>
    <t>1.194949984550476</t>
  </si>
  <si>
    <t>Vijay Raaz</t>
  </si>
  <si>
    <t>1.1797300577163696</t>
  </si>
  <si>
    <t>Hrishitaa Bhatt</t>
  </si>
  <si>
    <t>1.117300033569336</t>
  </si>
  <si>
    <t>Dinesh Hingoo</t>
  </si>
  <si>
    <t>1.040429949760437</t>
  </si>
  <si>
    <t>Sadashiv Amrapurkar</t>
  </si>
  <si>
    <t>1.2253999710083008</t>
  </si>
  <si>
    <t>Mohnish Bahl</t>
  </si>
  <si>
    <t>1.0497100353240967</t>
  </si>
  <si>
    <t>Farooq Shaikh</t>
  </si>
  <si>
    <t>1.2390700578689575</t>
  </si>
  <si>
    <t>Vikram Gokhale</t>
  </si>
  <si>
    <t>1.0788600444793701</t>
  </si>
  <si>
    <t>Govind Namdeo</t>
  </si>
  <si>
    <t>Kurush Deboo</t>
  </si>
  <si>
    <t>1.0180799961090088</t>
  </si>
  <si>
    <t>Ishrat Ali</t>
  </si>
  <si>
    <t>1.1722500324249268</t>
  </si>
  <si>
    <t>Milind Gunaji</t>
  </si>
  <si>
    <t>1.0592600107192993</t>
  </si>
  <si>
    <t>Sudesh Berry</t>
  </si>
  <si>
    <t>1.038100004196167</t>
  </si>
  <si>
    <t>Rajit Kapoor</t>
  </si>
  <si>
    <t>1.0375900268554688</t>
  </si>
  <si>
    <t>Nassar Abdulla</t>
  </si>
  <si>
    <t>1.0153800249099731</t>
  </si>
  <si>
    <t>Snehal Dabi</t>
  </si>
  <si>
    <t>1</t>
  </si>
  <si>
    <t>directorId</t>
  </si>
  <si>
    <t>directorName</t>
  </si>
  <si>
    <t>normalizedMovieRank</t>
  </si>
  <si>
    <t>Rajkumar Hirani</t>
  </si>
  <si>
    <t>Farah Khan</t>
  </si>
  <si>
    <t>Karan Johar</t>
  </si>
  <si>
    <t>Sajid Khan</t>
  </si>
  <si>
    <t>Rohit Shetty</t>
  </si>
  <si>
    <t>Kabir Khan</t>
  </si>
  <si>
    <t>Anil Sharma</t>
  </si>
  <si>
    <t>Siddharth Anand</t>
  </si>
  <si>
    <t>Anees Bazmee</t>
  </si>
  <si>
    <t>Prabhudheva</t>
  </si>
  <si>
    <t>Shaad Ali</t>
  </si>
  <si>
    <t>Anurag Basu</t>
  </si>
  <si>
    <t>Mohit Suri</t>
  </si>
  <si>
    <t>Sanjay Leela Bhansali</t>
  </si>
  <si>
    <t>Imtiaz Ali</t>
  </si>
  <si>
    <t>Mani Ratnam</t>
  </si>
  <si>
    <t>David Dhawan</t>
  </si>
  <si>
    <t>Aanand Rai</t>
  </si>
  <si>
    <t>Ashwani Dhir</t>
  </si>
  <si>
    <t>Raj Kumar Gupta</t>
  </si>
  <si>
    <t>Rakeysh Omprakash Mehra</t>
  </si>
  <si>
    <t>Sanjay Gadhvi</t>
  </si>
  <si>
    <t>Indra Kumar</t>
  </si>
  <si>
    <t>Kunal Deshmukh</t>
  </si>
  <si>
    <t>Kunal Kohli</t>
  </si>
  <si>
    <t>Abhishek Kapoor</t>
  </si>
  <si>
    <t>N. Chandra</t>
  </si>
  <si>
    <t>Priyadarshan</t>
  </si>
  <si>
    <t>Shoojit Sircar</t>
  </si>
  <si>
    <t>Ashutosh Gowariker</t>
  </si>
  <si>
    <t>Ram Gopal Varma</t>
  </si>
  <si>
    <t>Vishal Bhardwaj</t>
  </si>
  <si>
    <t>Abbas Alibhai Burmawalla</t>
  </si>
  <si>
    <t>Mastan Alibhai Burmawalla</t>
  </si>
  <si>
    <t>Milan Luthria</t>
  </si>
  <si>
    <t>Prakash Jha</t>
  </si>
  <si>
    <t>Sanjay Gupta</t>
  </si>
  <si>
    <t>Zoya Akhtar</t>
  </si>
  <si>
    <t>Madhur Bhandarkar</t>
  </si>
  <si>
    <t>Vipul Amrutlal Shah</t>
  </si>
  <si>
    <t>Pooja Bhatt</t>
  </si>
  <si>
    <t>Anubhav Sinha</t>
  </si>
  <si>
    <t>Raj Kanwar</t>
  </si>
  <si>
    <t>Anurag Kashyap</t>
  </si>
  <si>
    <t>Krishna D.K.</t>
  </si>
  <si>
    <t>Vikram Bhatt</t>
  </si>
  <si>
    <t>Dibakar Banerjee</t>
  </si>
  <si>
    <t>Shashilal K. Nair</t>
  </si>
  <si>
    <t>Rohan Sippy</t>
  </si>
  <si>
    <t>Sangeeth Sivan</t>
  </si>
  <si>
    <t>Rajkumar Santoshi</t>
  </si>
  <si>
    <t>Sagar Ballary</t>
  </si>
  <si>
    <t>Habib Faisal</t>
  </si>
  <si>
    <t>Sujoy Ghosh</t>
  </si>
  <si>
    <t>Deepak S. Shivdasani</t>
  </si>
  <si>
    <t>Milind Ukey</t>
  </si>
  <si>
    <t>Dev Anand</t>
  </si>
  <si>
    <t>Raj Nidimoru</t>
  </si>
  <si>
    <t>Kookie V. Gulati</t>
  </si>
  <si>
    <t>Mani Shankar</t>
  </si>
  <si>
    <t>Nikhil Advani</t>
  </si>
  <si>
    <t>Pradeep Sarkar</t>
  </si>
  <si>
    <t>Samir Karnik</t>
  </si>
  <si>
    <t>Arshad Khan</t>
  </si>
  <si>
    <t>Govind Menon</t>
  </si>
  <si>
    <t>Rajat Mukherjee</t>
  </si>
  <si>
    <t>Apoorva Lakhia</t>
  </si>
  <si>
    <t>Anant Mahadevan</t>
  </si>
  <si>
    <t>Sriram Raghavan</t>
  </si>
  <si>
    <t>Dharmesh Darshan</t>
  </si>
  <si>
    <t>Aditya Datt</t>
  </si>
  <si>
    <t>Suneel Darshan</t>
  </si>
  <si>
    <t>Shashant Shah</t>
  </si>
  <si>
    <t>Sudhir Mishra</t>
  </si>
  <si>
    <t>Harry Baweja</t>
  </si>
  <si>
    <t>Tigmanshu Dhulia</t>
  </si>
  <si>
    <t>Kundan Shah</t>
  </si>
  <si>
    <t>Deepak Tijori</t>
  </si>
  <si>
    <t>Shashanka Ghosh</t>
  </si>
  <si>
    <t>Rahul Rawail</t>
  </si>
  <si>
    <t>Raksha Mistry</t>
  </si>
  <si>
    <t>Nagesh Kukunoor</t>
  </si>
  <si>
    <t>Suparn Verma</t>
  </si>
  <si>
    <t>Ashwini Chaudhary</t>
  </si>
  <si>
    <t>Hansal Mehta</t>
  </si>
  <si>
    <t>Karan Razdan</t>
  </si>
  <si>
    <t>Eeshwar Nivas</t>
  </si>
  <si>
    <t>Hasnain Hyderabadwala</t>
  </si>
  <si>
    <t>Subhash Ghai</t>
  </si>
  <si>
    <t>Guddu Dhanoa</t>
  </si>
  <si>
    <t>Kabir Sadanand</t>
  </si>
  <si>
    <t>Kanti Shah</t>
  </si>
  <si>
    <t>Robby Grewal</t>
  </si>
  <si>
    <t>Hriday Shetty</t>
  </si>
  <si>
    <t>Anant Balani</t>
  </si>
  <si>
    <t>Kabeer Kaushik</t>
  </si>
  <si>
    <t>Amol Shetge</t>
  </si>
  <si>
    <t>Pankaj Parashar</t>
  </si>
  <si>
    <t>Rajiv S. Ruia</t>
  </si>
  <si>
    <t>Ashu Trikha</t>
  </si>
  <si>
    <t>Tanuja Chandra</t>
  </si>
  <si>
    <t>Mehul Kumar</t>
  </si>
  <si>
    <t>Ashok Tyagi</t>
  </si>
  <si>
    <t>Chandan Arora</t>
  </si>
  <si>
    <t>Rahat Kazmi</t>
  </si>
  <si>
    <t>Raj N. Sippy</t>
  </si>
  <si>
    <t>Ajai Sinha</t>
  </si>
  <si>
    <t>Shyam Ramsay</t>
  </si>
  <si>
    <t>Jag Mundhra</t>
  </si>
  <si>
    <t>Kalpana Lajmi</t>
  </si>
  <si>
    <t>Ajay Chandhok</t>
  </si>
  <si>
    <t>Puneet Sira</t>
  </si>
  <si>
    <t>Director Rating Data</t>
  </si>
  <si>
    <t>Data Analysis Director Rating Data</t>
  </si>
  <si>
    <t>Applied Power queriy Removed Zeros From Orignal data</t>
  </si>
  <si>
    <t>Movie Count Stats</t>
  </si>
  <si>
    <t>Mean</t>
  </si>
  <si>
    <t>Median</t>
  </si>
  <si>
    <t>Mode</t>
  </si>
  <si>
    <t>RatingSum Stats</t>
  </si>
  <si>
    <t>GoogleHits Stats</t>
  </si>
  <si>
    <t xml:space="preserve">Median </t>
  </si>
  <si>
    <t>Dataset Stats</t>
  </si>
  <si>
    <t>1)</t>
  </si>
  <si>
    <t>Dataset stats</t>
  </si>
  <si>
    <t>Quartile Of Movie Count</t>
  </si>
  <si>
    <t>Q1</t>
  </si>
  <si>
    <t>Min</t>
  </si>
  <si>
    <t>Q2</t>
  </si>
  <si>
    <t>Q3</t>
  </si>
  <si>
    <t>Max</t>
  </si>
  <si>
    <t xml:space="preserve">2) </t>
  </si>
  <si>
    <t>Std.dev</t>
  </si>
  <si>
    <t>Quartile Of RatingSum</t>
  </si>
  <si>
    <t>Quartile Of googleHits</t>
  </si>
  <si>
    <t>IQR</t>
  </si>
  <si>
    <t>Upper Bound</t>
  </si>
  <si>
    <t>Lower Bound</t>
  </si>
  <si>
    <t>Bounds Of Movie Count</t>
  </si>
  <si>
    <t>Bounds Of Rating Sum</t>
  </si>
  <si>
    <t>Bounds Of Google Hits</t>
  </si>
  <si>
    <t>EDA</t>
  </si>
  <si>
    <t>1) Best direcrtors</t>
  </si>
  <si>
    <t>2) Highest Number Of Movies</t>
  </si>
  <si>
    <t>Ouliers</t>
  </si>
  <si>
    <t>Upper Count</t>
  </si>
  <si>
    <t>Lower 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</si>
</sst>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1" fillId="0" borderId="0" xfId="0" applyFont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/>
    </xf>
    <xf numFmtId="0" fontId="6" fillId="3" borderId="8" xfId="0" applyFont="1" applyFill="1" applyBorder="1"/>
    <xf numFmtId="0" fontId="6" fillId="3" borderId="9" xfId="0" applyFont="1" applyFill="1" applyBorder="1"/>
    <xf numFmtId="0" fontId="0" fillId="4" borderId="8" xfId="0" applyFont="1" applyFill="1" applyBorder="1"/>
    <xf numFmtId="0" fontId="0" fillId="4" borderId="9" xfId="0" applyNumberFormat="1" applyFont="1" applyFill="1" applyBorder="1"/>
    <xf numFmtId="0" fontId="0" fillId="0" borderId="8" xfId="0" applyFont="1" applyBorder="1"/>
    <xf numFmtId="0" fontId="0" fillId="0" borderId="9" xfId="0" applyNumberFormat="1" applyFont="1" applyBorder="1"/>
    <xf numFmtId="0" fontId="0" fillId="4" borderId="9" xfId="0" applyFont="1" applyFill="1" applyBorder="1"/>
    <xf numFmtId="0" fontId="0" fillId="0" borderId="9" xfId="0" applyFont="1" applyBorder="1"/>
    <xf numFmtId="0" fontId="0" fillId="0" borderId="10" xfId="0" applyBorder="1"/>
    <xf numFmtId="0" fontId="0" fillId="0" borderId="1" xfId="0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3</xdr:row>
      <xdr:rowOff>9525</xdr:rowOff>
    </xdr:from>
    <xdr:to>
      <xdr:col>2</xdr:col>
      <xdr:colOff>762000</xdr:colOff>
      <xdr:row>4</xdr:row>
      <xdr:rowOff>9525</xdr:rowOff>
    </xdr:to>
    <xdr:sp macro="[0]!STAT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17C28395-088B-4DC0-8EEC-BAA7FA2EBBB5}"/>
            </a:ext>
          </a:extLst>
        </xdr:cNvPr>
        <xdr:cNvSpPr/>
      </xdr:nvSpPr>
      <xdr:spPr>
        <a:xfrm>
          <a:off x="1438275" y="781050"/>
          <a:ext cx="733425" cy="190500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rgbClr val="FF0000"/>
              </a:solidFill>
            </a:rPr>
            <a:t>STATS</a:t>
          </a:r>
        </a:p>
      </xdr:txBody>
    </xdr:sp>
    <xdr:clientData/>
  </xdr:twoCellAnchor>
  <xdr:twoCellAnchor>
    <xdr:from>
      <xdr:col>2</xdr:col>
      <xdr:colOff>38100</xdr:colOff>
      <xdr:row>5</xdr:row>
      <xdr:rowOff>38101</xdr:rowOff>
    </xdr:from>
    <xdr:to>
      <xdr:col>2</xdr:col>
      <xdr:colOff>771525</xdr:colOff>
      <xdr:row>6</xdr:row>
      <xdr:rowOff>47625</xdr:rowOff>
    </xdr:to>
    <xdr:sp macro="[0]!EDA" textlink="">
      <xdr:nvSpPr>
        <xdr:cNvPr id="3" name="Rectangle 2">
          <a:extLst>
            <a:ext uri="{FF2B5EF4-FFF2-40B4-BE49-F238E27FC236}">
              <a16:creationId xmlns:a16="http://schemas.microsoft.com/office/drawing/2014/main" id="{6AEC9BC6-D77A-45CB-A101-88F86366A938}"/>
            </a:ext>
          </a:extLst>
        </xdr:cNvPr>
        <xdr:cNvSpPr/>
      </xdr:nvSpPr>
      <xdr:spPr>
        <a:xfrm>
          <a:off x="1447800" y="1000126"/>
          <a:ext cx="733425" cy="200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EDA</a:t>
          </a:r>
        </a:p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</xdr:row>
      <xdr:rowOff>19050</xdr:rowOff>
    </xdr:from>
    <xdr:to>
      <xdr:col>3</xdr:col>
      <xdr:colOff>561975</xdr:colOff>
      <xdr:row>1</xdr:row>
      <xdr:rowOff>161925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EE217A03-5973-448D-AD88-4011478BDB65}"/>
            </a:ext>
          </a:extLst>
        </xdr:cNvPr>
        <xdr:cNvSpPr/>
      </xdr:nvSpPr>
      <xdr:spPr>
        <a:xfrm>
          <a:off x="1895475" y="209550"/>
          <a:ext cx="495300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76200</xdr:colOff>
      <xdr:row>2</xdr:row>
      <xdr:rowOff>28575</xdr:rowOff>
    </xdr:from>
    <xdr:to>
      <xdr:col>3</xdr:col>
      <xdr:colOff>571500</xdr:colOff>
      <xdr:row>2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7DE2DF0B-D9C3-4629-96B9-A3C70AEEE238}"/>
            </a:ext>
          </a:extLst>
        </xdr:cNvPr>
        <xdr:cNvSpPr/>
      </xdr:nvSpPr>
      <xdr:spPr>
        <a:xfrm>
          <a:off x="1905000" y="409575"/>
          <a:ext cx="495300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252AF9A-F062-4EEA-8DE1-55B02218BA04}" autoFormatId="16" applyNumberFormats="0" applyBorderFormats="0" applyFontFormats="0" applyPatternFormats="0" applyAlignmentFormats="0" applyWidthHeightFormats="0">
  <queryTableRefresh nextId="9">
    <queryTableFields count="8">
      <queryTableField id="1" name="directorId" tableColumnId="1"/>
      <queryTableField id="2" name="directorName" tableColumnId="2"/>
      <queryTableField id="3" name="movieCount" tableColumnId="3"/>
      <queryTableField id="4" name="ratingSum" tableColumnId="4"/>
      <queryTableField id="5" name="normalizedMovieRank" tableColumnId="5"/>
      <queryTableField id="6" name="googleHits" tableColumnId="6"/>
      <queryTableField id="7" name="normalizedGoogleRank" tableColumnId="7"/>
      <queryTableField id="8" name="normalizedRating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7D73511-CD36-4603-B6CF-E3C370185ABD}" autoFormatId="16" applyNumberFormats="0" applyBorderFormats="0" applyFontFormats="0" applyPatternFormats="0" applyAlignmentFormats="0" applyWidthHeightFormats="0">
  <queryTableRefresh nextId="8">
    <queryTableFields count="7">
      <queryTableField id="1" name="actorId" tableColumnId="1"/>
      <queryTableField id="2" name="actorName" tableColumnId="2"/>
      <queryTableField id="3" name="movieCount" tableColumnId="3"/>
      <queryTableField id="4" name="ratingSum" tableColumnId="4"/>
      <queryTableField id="5" name="googleHits" tableColumnId="5"/>
      <queryTableField id="6" name="normalizedGoogleRank" tableColumnId="6"/>
      <queryTableField id="7" name="normalizedRating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82FC92-5E9C-4BED-9545-F90F0408709A}" name="BollywoodDirectorRanking" displayName="BollywoodDirectorRanking" ref="D4:K120" tableType="queryTable" totalsRowShown="0">
  <autoFilter ref="D4:K120" xr:uid="{2A498740-8AC2-41BA-901D-C468408530D6}"/>
  <tableColumns count="8">
    <tableColumn id="1" xr3:uid="{4E593635-8594-45E6-9302-DE3248135AA5}" uniqueName="1" name="directorId" queryTableFieldId="1"/>
    <tableColumn id="2" xr3:uid="{1DDD247C-BE6C-4E8F-8C34-F6664B53BDF0}" uniqueName="2" name="directorName" queryTableFieldId="2" dataDxfId="3"/>
    <tableColumn id="3" xr3:uid="{DC0E0805-D9D1-4388-9C6B-F4BF975AFE54}" uniqueName="3" name="movieCount" queryTableFieldId="3"/>
    <tableColumn id="4" xr3:uid="{D0E3A322-D982-433D-B882-7113FA16E450}" uniqueName="4" name="ratingSum" queryTableFieldId="4"/>
    <tableColumn id="5" xr3:uid="{15B1912F-A668-470C-A544-B27F7D5EDEC8}" uniqueName="5" name="normalizedMovieRank" queryTableFieldId="5"/>
    <tableColumn id="6" xr3:uid="{1317D15D-C09F-433B-B59C-4E2F3CDE8973}" uniqueName="6" name="googleHits" queryTableFieldId="6"/>
    <tableColumn id="7" xr3:uid="{775E8719-C203-42EE-944C-35A6B3A87237}" uniqueName="7" name="normalizedGoogleRank" queryTableFieldId="7"/>
    <tableColumn id="8" xr3:uid="{2CF811F2-6759-4580-82D2-267A2E5F1241}" uniqueName="8" name="normalizedRating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6E8355-BAA6-407B-B617-B899818346DF}" name="BollywoodActorRanking" displayName="BollywoodActorRanking" ref="D5:J194" tableType="queryTable" totalsRowShown="0">
  <autoFilter ref="D5:J194" xr:uid="{7B074CF3-9108-45B7-A41B-4568A2796F15}"/>
  <tableColumns count="7">
    <tableColumn id="1" xr3:uid="{FD8928BC-6B33-41D0-98AB-1CB1098DD5AD}" uniqueName="1" name="actorId" queryTableFieldId="1"/>
    <tableColumn id="2" xr3:uid="{5851226D-A5CF-4E3E-A08F-21242EBD056D}" uniqueName="2" name="actorName" queryTableFieldId="2" dataDxfId="2"/>
    <tableColumn id="3" xr3:uid="{DA6968AF-4485-4C97-B803-2611DC4330FD}" uniqueName="3" name="movieCount" queryTableFieldId="3"/>
    <tableColumn id="4" xr3:uid="{D5B750CE-40E8-4ADC-9FB4-694218B45D23}" uniqueName="4" name="ratingSum" queryTableFieldId="4"/>
    <tableColumn id="5" xr3:uid="{F950AF22-4D94-46AE-980B-F613C41C182D}" uniqueName="5" name="googleHits" queryTableFieldId="5"/>
    <tableColumn id="6" xr3:uid="{811BC1D8-50E0-40E9-9F40-EF120FC3475D}" uniqueName="6" name="normalizedGoogleRank" queryTableFieldId="6" dataDxfId="1"/>
    <tableColumn id="7" xr3:uid="{42D95B76-1A2D-483E-8575-6804A2F06110}" uniqueName="7" name="normalizedRating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B9C81-28CB-459E-9B67-FD50543D8C28}">
  <sheetPr codeName="Sheet1"/>
  <dimension ref="A1:AF120"/>
  <sheetViews>
    <sheetView tabSelected="1" topLeftCell="K2" zoomScaleNormal="100" workbookViewId="0">
      <selection activeCell="X16" sqref="X16:Y16"/>
    </sheetView>
  </sheetViews>
  <sheetFormatPr defaultRowHeight="15" x14ac:dyDescent="0.25"/>
  <cols>
    <col min="2" max="2" width="12" customWidth="1"/>
    <col min="3" max="3" width="12.140625" customWidth="1"/>
    <col min="4" max="4" width="12" bestFit="1" customWidth="1"/>
    <col min="5" max="5" width="25.5703125" bestFit="1" customWidth="1"/>
    <col min="6" max="6" width="20" customWidth="1"/>
    <col min="7" max="7" width="12.28515625" bestFit="1" customWidth="1"/>
    <col min="8" max="8" width="23.7109375" bestFit="1" customWidth="1"/>
    <col min="9" max="9" width="12.7109375" bestFit="1" customWidth="1"/>
    <col min="10" max="10" width="24.42578125" bestFit="1" customWidth="1"/>
    <col min="11" max="11" width="19" bestFit="1" customWidth="1"/>
  </cols>
  <sheetData>
    <row r="1" spans="1:32" s="2" customFormat="1" ht="21" x14ac:dyDescent="0.35">
      <c r="A1" s="23" t="s">
        <v>489</v>
      </c>
      <c r="B1" s="23"/>
      <c r="C1" s="24"/>
      <c r="D1" s="24"/>
      <c r="E1" s="24"/>
      <c r="F1" s="24"/>
      <c r="G1" s="24"/>
      <c r="H1" s="24"/>
      <c r="I1" s="24"/>
      <c r="J1" s="24"/>
    </row>
    <row r="2" spans="1:32" ht="18.75" x14ac:dyDescent="0.3">
      <c r="E2" s="3" t="s">
        <v>490</v>
      </c>
      <c r="F2" s="4"/>
      <c r="G2" s="4"/>
      <c r="H2" s="4"/>
    </row>
    <row r="3" spans="1:32" ht="21" x14ac:dyDescent="0.35">
      <c r="D3" s="21" t="s">
        <v>488</v>
      </c>
      <c r="E3" s="22"/>
      <c r="F3" s="22"/>
      <c r="G3" s="22"/>
      <c r="H3" s="22"/>
      <c r="I3" s="22"/>
      <c r="J3" s="22"/>
      <c r="K3" s="22"/>
      <c r="M3" s="29" t="s">
        <v>498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32" x14ac:dyDescent="0.25">
      <c r="A4" t="s">
        <v>499</v>
      </c>
      <c r="B4" t="s">
        <v>500</v>
      </c>
      <c r="D4" t="s">
        <v>373</v>
      </c>
      <c r="E4" t="s">
        <v>374</v>
      </c>
      <c r="F4" t="s">
        <v>2</v>
      </c>
      <c r="G4" t="s">
        <v>3</v>
      </c>
      <c r="H4" t="s">
        <v>375</v>
      </c>
      <c r="I4" t="s">
        <v>4</v>
      </c>
      <c r="J4" t="s">
        <v>5</v>
      </c>
      <c r="K4" t="s">
        <v>6</v>
      </c>
      <c r="M4" s="28" t="s">
        <v>491</v>
      </c>
      <c r="N4" s="28"/>
      <c r="O4" s="28"/>
      <c r="P4" s="28"/>
      <c r="R4" s="25" t="s">
        <v>495</v>
      </c>
      <c r="S4" s="26"/>
      <c r="T4" s="27"/>
      <c r="U4" s="7"/>
      <c r="W4" s="25" t="s">
        <v>496</v>
      </c>
      <c r="X4" s="26"/>
      <c r="Y4" s="27"/>
      <c r="Z4" s="5"/>
    </row>
    <row r="5" spans="1:32" x14ac:dyDescent="0.25">
      <c r="D5">
        <v>1</v>
      </c>
      <c r="E5" s="1" t="s">
        <v>376</v>
      </c>
      <c r="F5">
        <v>3</v>
      </c>
      <c r="G5">
        <v>440</v>
      </c>
      <c r="H5">
        <v>10</v>
      </c>
      <c r="I5">
        <v>146000</v>
      </c>
      <c r="J5">
        <v>2.0779600143432617</v>
      </c>
      <c r="K5">
        <v>10</v>
      </c>
      <c r="M5" s="5" t="s">
        <v>492</v>
      </c>
      <c r="N5" s="5" t="s">
        <v>493</v>
      </c>
      <c r="O5" s="5" t="s">
        <v>494</v>
      </c>
      <c r="P5" s="6" t="s">
        <v>508</v>
      </c>
      <c r="R5" s="5" t="s">
        <v>492</v>
      </c>
      <c r="S5" s="5" t="s">
        <v>493</v>
      </c>
      <c r="T5" s="5" t="s">
        <v>494</v>
      </c>
      <c r="U5" s="6" t="s">
        <v>508</v>
      </c>
      <c r="W5" s="5" t="s">
        <v>492</v>
      </c>
      <c r="X5" s="5" t="s">
        <v>497</v>
      </c>
      <c r="Y5" s="5" t="s">
        <v>494</v>
      </c>
      <c r="Z5" s="6" t="s">
        <v>508</v>
      </c>
    </row>
    <row r="6" spans="1:32" x14ac:dyDescent="0.25">
      <c r="A6" t="s">
        <v>507</v>
      </c>
      <c r="B6" t="s">
        <v>517</v>
      </c>
      <c r="D6">
        <v>2</v>
      </c>
      <c r="E6" s="1" t="s">
        <v>377</v>
      </c>
      <c r="F6">
        <v>4</v>
      </c>
      <c r="G6">
        <v>440</v>
      </c>
      <c r="H6">
        <v>7.394740104675293</v>
      </c>
      <c r="I6">
        <v>1060000</v>
      </c>
      <c r="J6">
        <v>8.8831701278686523</v>
      </c>
      <c r="K6">
        <v>8.78472995758057</v>
      </c>
      <c r="M6" s="5">
        <f>AVERAGE(BollywoodDirectorRanking[movieCount])</f>
        <v>4.9568965517241379</v>
      </c>
      <c r="N6" s="5">
        <f>MEDIAN(BollywoodDirectorRanking[movieCount])</f>
        <v>4</v>
      </c>
      <c r="O6" s="5">
        <f>MODE(BollywoodDirectorRanking[movieCount])</f>
        <v>3</v>
      </c>
      <c r="P6" s="5">
        <f>_xlfn.STDEV.P(BollywoodDirectorRanking[movieCount])</f>
        <v>2.7989907090411097</v>
      </c>
      <c r="R6" s="5">
        <f>AVERAGE(BollywoodDirectorRanking[])</f>
        <v>31675.729372559657</v>
      </c>
      <c r="S6" s="5">
        <f>MEDIAN(BollywoodDirectorRanking[ratingSum])</f>
        <v>145</v>
      </c>
      <c r="T6" s="5">
        <f>MODE(BollywoodDirectorRanking[ratingSum])</f>
        <v>60</v>
      </c>
      <c r="U6" s="5">
        <f>_xlfn.STDEV.P(BollywoodDirectorRanking[ratingSum])</f>
        <v>182.55917874908681</v>
      </c>
      <c r="W6" s="5">
        <f>AVERAGE(BollywoodDirectorRanking[googleHits])</f>
        <v>221436.72413793104</v>
      </c>
      <c r="X6" s="5">
        <f>MEDIAN(BollywoodDirectorRanking[googleHits])</f>
        <v>51800</v>
      </c>
      <c r="Y6" s="5">
        <f>MODE(BollywoodDirectorRanking[googleHits])</f>
        <v>1060000</v>
      </c>
      <c r="Z6" s="5">
        <f>_xlfn.STDEV.P(BollywoodDirectorRanking[googleHits])</f>
        <v>332406.28141699673</v>
      </c>
    </row>
    <row r="7" spans="1:32" x14ac:dyDescent="0.25">
      <c r="D7">
        <v>3</v>
      </c>
      <c r="E7" s="1" t="s">
        <v>378</v>
      </c>
      <c r="F7">
        <v>5</v>
      </c>
      <c r="G7">
        <v>430</v>
      </c>
      <c r="H7">
        <v>5.6894698143005371</v>
      </c>
      <c r="I7">
        <v>1050000</v>
      </c>
      <c r="J7">
        <v>8.8087196350097656</v>
      </c>
      <c r="K7">
        <v>7.1045999526977504</v>
      </c>
    </row>
    <row r="8" spans="1:32" x14ac:dyDescent="0.25">
      <c r="D8">
        <v>4</v>
      </c>
      <c r="E8" s="1" t="s">
        <v>379</v>
      </c>
      <c r="F8">
        <v>4</v>
      </c>
      <c r="G8">
        <v>350</v>
      </c>
      <c r="H8">
        <v>5.7960500717163086</v>
      </c>
      <c r="I8">
        <v>905000</v>
      </c>
      <c r="J8">
        <v>7.7291197776794434</v>
      </c>
      <c r="K8">
        <v>6.9977998733520499</v>
      </c>
    </row>
    <row r="9" spans="1:32" x14ac:dyDescent="0.25">
      <c r="D9">
        <v>5</v>
      </c>
      <c r="E9" s="1" t="s">
        <v>380</v>
      </c>
      <c r="F9">
        <v>10</v>
      </c>
      <c r="G9">
        <v>950</v>
      </c>
      <c r="H9">
        <v>6.3289499282836914</v>
      </c>
      <c r="I9">
        <v>437000</v>
      </c>
      <c r="J9">
        <v>4.2446098327636719</v>
      </c>
      <c r="K9">
        <v>6.8376097679138201</v>
      </c>
      <c r="M9" s="18" t="s">
        <v>501</v>
      </c>
      <c r="N9" s="19"/>
      <c r="O9" s="19"/>
      <c r="P9" s="19"/>
      <c r="Q9" s="20"/>
      <c r="T9" s="18" t="s">
        <v>509</v>
      </c>
      <c r="U9" s="19"/>
      <c r="V9" s="19"/>
      <c r="W9" s="19"/>
      <c r="X9" s="20"/>
      <c r="AA9" s="18" t="s">
        <v>510</v>
      </c>
      <c r="AB9" s="19"/>
      <c r="AC9" s="19"/>
      <c r="AD9" s="19"/>
      <c r="AE9" s="20"/>
    </row>
    <row r="10" spans="1:32" x14ac:dyDescent="0.25">
      <c r="D10">
        <v>6</v>
      </c>
      <c r="E10" s="1" t="s">
        <v>381</v>
      </c>
      <c r="F10">
        <v>3</v>
      </c>
      <c r="G10">
        <v>270</v>
      </c>
      <c r="H10">
        <v>5.9736800193786621</v>
      </c>
      <c r="I10">
        <v>666000</v>
      </c>
      <c r="J10">
        <v>5.9496397972106934</v>
      </c>
      <c r="K10">
        <v>6.8236799240112296</v>
      </c>
      <c r="M10" s="5" t="s">
        <v>503</v>
      </c>
      <c r="N10" s="5" t="s">
        <v>502</v>
      </c>
      <c r="O10" s="5" t="s">
        <v>504</v>
      </c>
      <c r="P10" s="5" t="s">
        <v>505</v>
      </c>
      <c r="Q10" s="5" t="s">
        <v>506</v>
      </c>
      <c r="T10" s="5" t="s">
        <v>503</v>
      </c>
      <c r="U10" s="5" t="s">
        <v>502</v>
      </c>
      <c r="V10" s="5" t="s">
        <v>504</v>
      </c>
      <c r="W10" s="5" t="s">
        <v>505</v>
      </c>
      <c r="X10" s="5" t="s">
        <v>506</v>
      </c>
      <c r="AA10" s="5" t="s">
        <v>503</v>
      </c>
      <c r="AB10" s="5" t="s">
        <v>502</v>
      </c>
      <c r="AC10" s="5" t="s">
        <v>504</v>
      </c>
      <c r="AD10" s="5" t="s">
        <v>505</v>
      </c>
      <c r="AE10" s="5" t="s">
        <v>506</v>
      </c>
    </row>
    <row r="11" spans="1:32" x14ac:dyDescent="0.25">
      <c r="D11">
        <v>7</v>
      </c>
      <c r="E11" s="1" t="s">
        <v>382</v>
      </c>
      <c r="F11">
        <v>6</v>
      </c>
      <c r="G11">
        <v>390</v>
      </c>
      <c r="H11">
        <v>4.1973700523376465</v>
      </c>
      <c r="I11">
        <v>1110000</v>
      </c>
      <c r="J11">
        <v>9.2554502487182617</v>
      </c>
      <c r="K11">
        <v>5.7344698905944798</v>
      </c>
      <c r="M11" s="5">
        <f>MIN(BollywoodDirectorRanking[movieCount])</f>
        <v>3</v>
      </c>
      <c r="N11" s="5">
        <f>_xlfn.PERCENTILE.EXC(BollywoodDirectorRanking[movieCount],0.25)</f>
        <v>3</v>
      </c>
      <c r="O11" s="5">
        <f>_xlfn.PERCENTILE.EXC(BollywoodDirectorRanking[movieCount],0.5)</f>
        <v>4</v>
      </c>
      <c r="P11" s="5">
        <f>_xlfn.PERCENTILE.EXC(BollywoodDirectorRanking[movieCount],0.75)</f>
        <v>6</v>
      </c>
      <c r="Q11" s="5">
        <f>MAX(BollywoodDirectorRanking[movieCount])</f>
        <v>19</v>
      </c>
      <c r="T11" s="5">
        <f>MIN(BollywoodDirectorRanking[ratingSum])</f>
        <v>60</v>
      </c>
      <c r="U11" s="5">
        <f>QUARTILE(BollywoodDirectorRanking[ratingSum],1)</f>
        <v>90</v>
      </c>
      <c r="V11" s="5">
        <f>QUARTILE(BollywoodDirectorRanking[ratingSum],2)</f>
        <v>145</v>
      </c>
      <c r="W11" s="5">
        <f>QUARTILE(BollywoodDirectorRanking[ratingSum],3)</f>
        <v>272.5</v>
      </c>
      <c r="X11" s="5">
        <f>MAX(BollywoodDirectorRanking[ratingSum])</f>
        <v>1050</v>
      </c>
      <c r="AA11" s="5">
        <f>MIN(BollywoodDirectorRanking[googleHits])</f>
        <v>1220</v>
      </c>
      <c r="AB11" s="5">
        <f>QUARTILE(BollywoodDirectorRanking[googleHits],1)</f>
        <v>13200</v>
      </c>
      <c r="AC11" s="5">
        <f>QUARTILE(BollywoodDirectorRanking[googleHits],2)</f>
        <v>51800</v>
      </c>
      <c r="AD11" s="5">
        <f>QUARTILE(BollywoodDirectorRanking[googleHits],3)</f>
        <v>277250</v>
      </c>
      <c r="AE11" s="5">
        <f>MAX(BollywoodDirectorRanking[googleHits])</f>
        <v>1210000</v>
      </c>
    </row>
    <row r="12" spans="1:32" x14ac:dyDescent="0.25">
      <c r="D12">
        <v>8</v>
      </c>
      <c r="E12" s="1" t="s">
        <v>39</v>
      </c>
      <c r="F12">
        <v>4</v>
      </c>
      <c r="G12">
        <v>290</v>
      </c>
      <c r="H12">
        <v>4.730259895324707</v>
      </c>
      <c r="I12">
        <v>742000</v>
      </c>
      <c r="J12">
        <v>6.5154900550842285</v>
      </c>
      <c r="K12">
        <v>5.7197299003601101</v>
      </c>
      <c r="M12" s="5" t="s">
        <v>511</v>
      </c>
      <c r="N12" s="5">
        <f>P11-N11</f>
        <v>3</v>
      </c>
      <c r="T12" s="5" t="s">
        <v>511</v>
      </c>
      <c r="U12" s="5">
        <f>W11-U11</f>
        <v>182.5</v>
      </c>
      <c r="AA12" s="5" t="s">
        <v>511</v>
      </c>
      <c r="AB12" s="5">
        <f>AD11-AB11</f>
        <v>264050</v>
      </c>
    </row>
    <row r="13" spans="1:32" x14ac:dyDescent="0.25">
      <c r="D13">
        <v>9</v>
      </c>
      <c r="E13" s="1" t="s">
        <v>383</v>
      </c>
      <c r="F13">
        <v>5</v>
      </c>
      <c r="G13">
        <v>400</v>
      </c>
      <c r="H13">
        <v>5.263160228729248</v>
      </c>
      <c r="I13">
        <v>312000</v>
      </c>
      <c r="J13">
        <v>3.3139200210571289</v>
      </c>
      <c r="K13">
        <v>5.6148099899292001</v>
      </c>
    </row>
    <row r="14" spans="1:32" x14ac:dyDescent="0.25">
      <c r="D14">
        <v>10</v>
      </c>
      <c r="E14" s="1" t="s">
        <v>384</v>
      </c>
      <c r="F14">
        <v>7</v>
      </c>
      <c r="G14">
        <v>600</v>
      </c>
      <c r="H14">
        <v>5.6691699028015137</v>
      </c>
      <c r="I14">
        <v>34400</v>
      </c>
      <c r="J14">
        <v>1.2470400333404541</v>
      </c>
      <c r="K14">
        <v>5.6076197624206499</v>
      </c>
      <c r="M14" s="30" t="s">
        <v>514</v>
      </c>
      <c r="N14" s="30"/>
      <c r="O14" s="30"/>
      <c r="P14" s="30"/>
      <c r="Q14" s="30"/>
      <c r="R14" s="30"/>
      <c r="T14" s="30" t="s">
        <v>515</v>
      </c>
      <c r="U14" s="30"/>
      <c r="V14" s="30"/>
      <c r="W14" s="30"/>
      <c r="X14" s="30"/>
      <c r="Y14" s="30"/>
      <c r="AA14" s="30" t="s">
        <v>516</v>
      </c>
      <c r="AB14" s="30"/>
      <c r="AC14" s="30"/>
      <c r="AD14" s="30"/>
      <c r="AE14" s="30"/>
      <c r="AF14" s="30"/>
    </row>
    <row r="15" spans="1:32" x14ac:dyDescent="0.25">
      <c r="D15">
        <v>11</v>
      </c>
      <c r="E15" s="1" t="s">
        <v>385</v>
      </c>
      <c r="F15">
        <v>4</v>
      </c>
      <c r="G15">
        <v>330</v>
      </c>
      <c r="H15">
        <v>5.4407901763916016</v>
      </c>
      <c r="I15">
        <v>153000</v>
      </c>
      <c r="J15">
        <v>2.130079984664917</v>
      </c>
      <c r="K15">
        <v>5.5570502281189</v>
      </c>
      <c r="M15" s="31" t="s">
        <v>512</v>
      </c>
      <c r="N15" s="31"/>
      <c r="O15" s="16"/>
      <c r="P15" s="16"/>
      <c r="Q15" s="31" t="s">
        <v>513</v>
      </c>
      <c r="R15" s="31"/>
      <c r="T15" s="28" t="s">
        <v>512</v>
      </c>
      <c r="U15" s="28"/>
      <c r="V15" s="5"/>
      <c r="W15" s="5"/>
      <c r="X15" s="28" t="s">
        <v>513</v>
      </c>
      <c r="Y15" s="28"/>
      <c r="AA15" s="28" t="s">
        <v>512</v>
      </c>
      <c r="AB15" s="28"/>
      <c r="AC15" s="5"/>
      <c r="AD15" s="5"/>
      <c r="AE15" s="28" t="s">
        <v>513</v>
      </c>
      <c r="AF15" s="28"/>
    </row>
    <row r="16" spans="1:32" x14ac:dyDescent="0.25">
      <c r="D16">
        <v>12</v>
      </c>
      <c r="E16" s="1" t="s">
        <v>386</v>
      </c>
      <c r="F16">
        <v>3</v>
      </c>
      <c r="G16">
        <v>240</v>
      </c>
      <c r="H16">
        <v>5.263160228729248</v>
      </c>
      <c r="I16">
        <v>68900</v>
      </c>
      <c r="J16">
        <v>1.5039099454879761</v>
      </c>
      <c r="K16">
        <v>5.26122999191284</v>
      </c>
      <c r="M16" s="28">
        <f>P11+(1.5*N12)</f>
        <v>10.5</v>
      </c>
      <c r="N16" s="28"/>
      <c r="O16" s="5"/>
      <c r="P16" s="5"/>
      <c r="Q16" s="28">
        <f>N11-(1.5*N12)</f>
        <v>-1.5</v>
      </c>
      <c r="R16" s="28"/>
      <c r="T16" s="28">
        <f>W11+(1.5*U12)</f>
        <v>546.25</v>
      </c>
      <c r="U16" s="28"/>
      <c r="V16" s="5"/>
      <c r="W16" s="5"/>
      <c r="X16" s="28">
        <f>U11-(1.5*U12)</f>
        <v>-183.75</v>
      </c>
      <c r="Y16" s="28"/>
      <c r="AA16" s="28">
        <f>AD11+(1.5*AB12)</f>
        <v>673325</v>
      </c>
      <c r="AB16" s="28"/>
      <c r="AC16" s="5"/>
      <c r="AD16" s="5"/>
      <c r="AE16" s="28">
        <f>AB11-(1.5*AB12)</f>
        <v>-382875</v>
      </c>
      <c r="AF16" s="28"/>
    </row>
    <row r="17" spans="4:32" x14ac:dyDescent="0.25">
      <c r="D17">
        <v>13</v>
      </c>
      <c r="E17" s="1" t="s">
        <v>387</v>
      </c>
      <c r="F17">
        <v>8</v>
      </c>
      <c r="G17">
        <v>510</v>
      </c>
      <c r="H17">
        <v>4.1085500717163086</v>
      </c>
      <c r="I17">
        <v>755000</v>
      </c>
      <c r="J17">
        <v>6.6122899055480957</v>
      </c>
      <c r="K17">
        <v>5.1313900947570801</v>
      </c>
    </row>
    <row r="18" spans="4:32" x14ac:dyDescent="0.25">
      <c r="D18">
        <v>14</v>
      </c>
      <c r="E18" s="1" t="s">
        <v>388</v>
      </c>
      <c r="F18">
        <v>8</v>
      </c>
      <c r="G18">
        <v>560</v>
      </c>
      <c r="H18">
        <v>4.5526299476623535</v>
      </c>
      <c r="I18">
        <v>319000</v>
      </c>
      <c r="J18">
        <v>3.3660399913787842</v>
      </c>
      <c r="K18">
        <v>4.93099021911621</v>
      </c>
      <c r="M18" s="30" t="s">
        <v>520</v>
      </c>
      <c r="N18" s="30"/>
      <c r="O18" s="30"/>
      <c r="P18" s="30"/>
      <c r="Q18" s="30"/>
      <c r="R18" s="30"/>
      <c r="T18" s="22"/>
      <c r="U18" s="22"/>
      <c r="V18" s="22"/>
      <c r="W18" s="22"/>
      <c r="X18" s="22"/>
      <c r="Y18" s="22"/>
    </row>
    <row r="19" spans="4:32" x14ac:dyDescent="0.25">
      <c r="D19">
        <v>15</v>
      </c>
      <c r="E19" s="1" t="s">
        <v>389</v>
      </c>
      <c r="F19">
        <v>5</v>
      </c>
      <c r="G19">
        <v>300</v>
      </c>
      <c r="H19">
        <v>3.8421099185943604</v>
      </c>
      <c r="I19">
        <v>790000</v>
      </c>
      <c r="J19">
        <v>6.8728799819946289</v>
      </c>
      <c r="K19">
        <v>4.9220499992370597</v>
      </c>
      <c r="M19" s="31" t="s">
        <v>521</v>
      </c>
      <c r="N19" s="31"/>
      <c r="O19" s="16"/>
      <c r="P19" s="16"/>
      <c r="Q19" s="31" t="s">
        <v>522</v>
      </c>
      <c r="R19" s="31"/>
    </row>
    <row r="20" spans="4:32" x14ac:dyDescent="0.25">
      <c r="D20">
        <v>16</v>
      </c>
      <c r="E20" s="1" t="s">
        <v>390</v>
      </c>
      <c r="F20">
        <v>5</v>
      </c>
      <c r="G20">
        <v>270</v>
      </c>
      <c r="H20">
        <v>3.4157900810241699</v>
      </c>
      <c r="I20">
        <v>1050000</v>
      </c>
      <c r="J20">
        <v>8.8087196350097656</v>
      </c>
      <c r="K20">
        <v>4.88381004333496</v>
      </c>
      <c r="M20" s="28">
        <f>COUNTIF(BollywoodDirectorRanking[movieCount],"&gt;M16")</f>
        <v>0</v>
      </c>
      <c r="N20" s="28"/>
      <c r="O20" s="5"/>
      <c r="P20" s="5"/>
      <c r="Q20" s="28">
        <f>COUNTIF(BollywoodDirectorRanking[movieCount],"&lt;Q16")</f>
        <v>0</v>
      </c>
      <c r="R20" s="28">
        <f>COUNTIF(BollywoodDirectorRanking[movieCount],"&gt;M16")</f>
        <v>0</v>
      </c>
    </row>
    <row r="21" spans="4:32" x14ac:dyDescent="0.25">
      <c r="D21">
        <v>17</v>
      </c>
      <c r="E21" s="1" t="s">
        <v>391</v>
      </c>
      <c r="F21">
        <v>3</v>
      </c>
      <c r="G21">
        <v>170</v>
      </c>
      <c r="H21">
        <v>3.605259895324707</v>
      </c>
      <c r="I21">
        <v>921000</v>
      </c>
      <c r="J21">
        <v>7.8482398986816406</v>
      </c>
      <c r="K21">
        <v>4.8812499046325701</v>
      </c>
    </row>
    <row r="22" spans="4:32" x14ac:dyDescent="0.25">
      <c r="D22">
        <v>18</v>
      </c>
      <c r="E22" s="1" t="s">
        <v>392</v>
      </c>
      <c r="F22">
        <v>11</v>
      </c>
      <c r="G22">
        <v>670</v>
      </c>
      <c r="H22">
        <v>3.9066998958587646</v>
      </c>
      <c r="I22">
        <v>622000</v>
      </c>
      <c r="J22">
        <v>5.6220297813415527</v>
      </c>
      <c r="K22">
        <v>4.7407898902893102</v>
      </c>
      <c r="T22" s="30" t="s">
        <v>520</v>
      </c>
      <c r="U22" s="30"/>
      <c r="V22" s="30"/>
      <c r="W22" s="30"/>
      <c r="X22" s="30"/>
      <c r="Y22" s="30"/>
      <c r="AA22" s="30" t="s">
        <v>520</v>
      </c>
      <c r="AB22" s="30"/>
      <c r="AC22" s="30"/>
      <c r="AD22" s="30"/>
      <c r="AE22" s="30"/>
      <c r="AF22" s="30"/>
    </row>
    <row r="23" spans="4:32" x14ac:dyDescent="0.25">
      <c r="D23">
        <v>19</v>
      </c>
      <c r="E23" s="1" t="s">
        <v>393</v>
      </c>
      <c r="F23">
        <v>3</v>
      </c>
      <c r="G23">
        <v>220</v>
      </c>
      <c r="H23">
        <v>4.7894701957702637</v>
      </c>
      <c r="I23">
        <v>20700</v>
      </c>
      <c r="J23">
        <v>1.1450400352478027</v>
      </c>
      <c r="K23">
        <v>4.7284598350524902</v>
      </c>
      <c r="T23" s="31" t="s">
        <v>521</v>
      </c>
      <c r="U23" s="31"/>
      <c r="V23" s="16"/>
      <c r="W23" s="16"/>
      <c r="X23" s="31" t="s">
        <v>522</v>
      </c>
      <c r="Y23" s="31"/>
      <c r="AA23" s="32"/>
      <c r="AB23" s="33"/>
      <c r="AC23" s="16"/>
      <c r="AD23" s="16"/>
      <c r="AE23" s="31" t="s">
        <v>522</v>
      </c>
      <c r="AF23" s="31"/>
    </row>
    <row r="24" spans="4:32" x14ac:dyDescent="0.25">
      <c r="D24">
        <v>20</v>
      </c>
      <c r="E24" s="1" t="s">
        <v>394</v>
      </c>
      <c r="F24">
        <v>3</v>
      </c>
      <c r="G24">
        <v>220</v>
      </c>
      <c r="H24">
        <v>4.7894701957702637</v>
      </c>
      <c r="I24">
        <v>5100</v>
      </c>
      <c r="J24">
        <v>1.0288900136947632</v>
      </c>
      <c r="K24">
        <v>4.7057700157165501</v>
      </c>
      <c r="T24" s="5">
        <f>COUNTIF(BollywoodDirectorRanking[ratingSum],"&gt;T16")</f>
        <v>0</v>
      </c>
      <c r="U24" s="17"/>
      <c r="V24" s="5"/>
      <c r="W24" s="5"/>
      <c r="X24" s="5"/>
      <c r="Y24" s="5">
        <f>COUNTIF(BollywoodDirectorRanking[ratingSum],"&lt;X16")</f>
        <v>0</v>
      </c>
      <c r="AA24" s="5">
        <f>COUNTIF(BollywoodDirectorRanking[googleHits],"&gt;AA16")</f>
        <v>0</v>
      </c>
      <c r="AB24" s="17"/>
      <c r="AC24" s="5"/>
      <c r="AD24" s="5"/>
      <c r="AE24" s="5"/>
      <c r="AF24" s="5">
        <f>COUNTIF(BollywoodDirectorRanking[googleHits],"&lt;AE16")</f>
        <v>0</v>
      </c>
    </row>
    <row r="25" spans="4:32" x14ac:dyDescent="0.25">
      <c r="D25">
        <v>21</v>
      </c>
      <c r="E25" s="1" t="s">
        <v>395</v>
      </c>
      <c r="F25">
        <v>3</v>
      </c>
      <c r="G25">
        <v>140</v>
      </c>
      <c r="H25">
        <v>2.894740104675293</v>
      </c>
      <c r="I25">
        <v>1210000</v>
      </c>
      <c r="J25">
        <v>10</v>
      </c>
      <c r="K25">
        <v>4.6075901985168501</v>
      </c>
    </row>
    <row r="26" spans="4:32" x14ac:dyDescent="0.25">
      <c r="D26">
        <v>22</v>
      </c>
      <c r="E26" s="1" t="s">
        <v>396</v>
      </c>
      <c r="F26">
        <v>4</v>
      </c>
      <c r="G26">
        <v>280</v>
      </c>
      <c r="H26">
        <v>4.5526299476623535</v>
      </c>
      <c r="I26">
        <v>29900</v>
      </c>
      <c r="J26">
        <v>1.2135399580001831</v>
      </c>
      <c r="K26">
        <v>4.5105099678039604</v>
      </c>
    </row>
    <row r="27" spans="4:32" x14ac:dyDescent="0.25">
      <c r="D27">
        <v>23</v>
      </c>
      <c r="E27" s="1" t="s">
        <v>397</v>
      </c>
      <c r="F27">
        <v>6</v>
      </c>
      <c r="G27">
        <v>410</v>
      </c>
      <c r="H27">
        <v>4.4342098236083984</v>
      </c>
      <c r="I27">
        <v>16600</v>
      </c>
      <c r="J27">
        <v>1.1145100593566895</v>
      </c>
      <c r="K27">
        <v>4.3755002021789604</v>
      </c>
    </row>
    <row r="28" spans="4:32" x14ac:dyDescent="0.25">
      <c r="D28">
        <v>24</v>
      </c>
      <c r="E28" s="1" t="s">
        <v>398</v>
      </c>
      <c r="F28">
        <v>7</v>
      </c>
      <c r="G28">
        <v>420</v>
      </c>
      <c r="H28">
        <v>3.8421099185943604</v>
      </c>
      <c r="I28">
        <v>239000</v>
      </c>
      <c r="J28">
        <v>2.7704000473022461</v>
      </c>
      <c r="K28">
        <v>4.1206398010253897</v>
      </c>
    </row>
    <row r="29" spans="4:32" x14ac:dyDescent="0.25">
      <c r="D29">
        <v>25</v>
      </c>
      <c r="E29" s="1" t="s">
        <v>399</v>
      </c>
      <c r="F29">
        <v>4</v>
      </c>
      <c r="G29">
        <v>250</v>
      </c>
      <c r="H29">
        <v>4.019740104675293</v>
      </c>
      <c r="I29">
        <v>107000</v>
      </c>
      <c r="J29">
        <v>1.7875900268554688</v>
      </c>
      <c r="K29">
        <v>4.1021499633789098</v>
      </c>
    </row>
    <row r="30" spans="4:32" x14ac:dyDescent="0.25">
      <c r="D30">
        <v>26</v>
      </c>
      <c r="E30" s="1" t="s">
        <v>400</v>
      </c>
      <c r="F30">
        <v>5</v>
      </c>
      <c r="G30">
        <v>310</v>
      </c>
      <c r="H30">
        <v>3.9842100143432617</v>
      </c>
      <c r="I30">
        <v>112000</v>
      </c>
      <c r="J30">
        <v>1.8248200416564941</v>
      </c>
      <c r="K30">
        <v>4.0747299194335902</v>
      </c>
    </row>
    <row r="31" spans="4:32" x14ac:dyDescent="0.25">
      <c r="D31">
        <v>27</v>
      </c>
      <c r="E31" s="1" t="s">
        <v>401</v>
      </c>
      <c r="F31">
        <v>3</v>
      </c>
      <c r="G31">
        <v>160</v>
      </c>
      <c r="H31">
        <v>3.368419885635376</v>
      </c>
      <c r="I31">
        <v>500000</v>
      </c>
      <c r="J31">
        <v>4.7136797904968262</v>
      </c>
      <c r="K31">
        <v>4.0375900268554696</v>
      </c>
    </row>
    <row r="32" spans="4:32" x14ac:dyDescent="0.25">
      <c r="D32">
        <v>28</v>
      </c>
      <c r="E32" s="1" t="s">
        <v>402</v>
      </c>
      <c r="F32">
        <v>3</v>
      </c>
      <c r="G32">
        <v>120</v>
      </c>
      <c r="H32">
        <v>2.4210500717163086</v>
      </c>
      <c r="I32">
        <v>1010000</v>
      </c>
      <c r="J32">
        <v>8.510899543762207</v>
      </c>
      <c r="K32">
        <v>3.8540399074554399</v>
      </c>
    </row>
    <row r="33" spans="4:11" x14ac:dyDescent="0.25">
      <c r="D33">
        <v>29</v>
      </c>
      <c r="E33" s="1" t="s">
        <v>403</v>
      </c>
      <c r="F33">
        <v>19</v>
      </c>
      <c r="G33">
        <v>1050</v>
      </c>
      <c r="H33">
        <v>3.5055398941040039</v>
      </c>
      <c r="I33">
        <v>277000</v>
      </c>
      <c r="J33">
        <v>3.0533299446105957</v>
      </c>
      <c r="K33">
        <v>3.84717988967896</v>
      </c>
    </row>
    <row r="34" spans="4:11" x14ac:dyDescent="0.25">
      <c r="D34">
        <v>30</v>
      </c>
      <c r="E34" s="1" t="s">
        <v>404</v>
      </c>
      <c r="F34">
        <v>3</v>
      </c>
      <c r="G34">
        <v>180</v>
      </c>
      <c r="H34">
        <v>3.8421099185943604</v>
      </c>
      <c r="I34">
        <v>27800</v>
      </c>
      <c r="J34">
        <v>1.1979000568389893</v>
      </c>
      <c r="K34">
        <v>3.8134601116180402</v>
      </c>
    </row>
    <row r="35" spans="4:11" x14ac:dyDescent="0.25">
      <c r="D35">
        <v>31</v>
      </c>
      <c r="E35" s="1" t="s">
        <v>405</v>
      </c>
      <c r="F35">
        <v>5</v>
      </c>
      <c r="G35">
        <v>250</v>
      </c>
      <c r="H35">
        <v>3.131580114364624</v>
      </c>
      <c r="I35">
        <v>460000</v>
      </c>
      <c r="J35">
        <v>4.4158601760864258</v>
      </c>
      <c r="K35">
        <v>3.7480800151825</v>
      </c>
    </row>
    <row r="36" spans="4:11" x14ac:dyDescent="0.25">
      <c r="D36">
        <v>32</v>
      </c>
      <c r="E36" s="1" t="s">
        <v>406</v>
      </c>
      <c r="F36">
        <v>17</v>
      </c>
      <c r="G36">
        <v>680</v>
      </c>
      <c r="H36">
        <v>2.4210500717163086</v>
      </c>
      <c r="I36">
        <v>934000</v>
      </c>
      <c r="J36">
        <v>7.945040225982666</v>
      </c>
      <c r="K36">
        <v>3.7434999942779501</v>
      </c>
    </row>
    <row r="37" spans="4:11" x14ac:dyDescent="0.25">
      <c r="D37">
        <v>33</v>
      </c>
      <c r="E37" s="1" t="s">
        <v>407</v>
      </c>
      <c r="F37">
        <v>5</v>
      </c>
      <c r="G37">
        <v>210</v>
      </c>
      <c r="H37">
        <v>2.5631599426269531</v>
      </c>
      <c r="I37">
        <v>769000</v>
      </c>
      <c r="J37">
        <v>6.716519832611084</v>
      </c>
      <c r="K37">
        <v>3.6423099040985099</v>
      </c>
    </row>
    <row r="38" spans="4:11" x14ac:dyDescent="0.25">
      <c r="D38">
        <v>34</v>
      </c>
      <c r="E38" s="1" t="s">
        <v>408</v>
      </c>
      <c r="F38">
        <v>10</v>
      </c>
      <c r="G38">
        <v>580</v>
      </c>
      <c r="H38">
        <v>3.7000000476837158</v>
      </c>
      <c r="I38">
        <v>4700</v>
      </c>
      <c r="J38">
        <v>1.0259100198745728</v>
      </c>
      <c r="K38">
        <v>3.6410601139068599</v>
      </c>
    </row>
    <row r="39" spans="4:11" x14ac:dyDescent="0.25">
      <c r="D39">
        <v>35</v>
      </c>
      <c r="E39" s="1" t="s">
        <v>409</v>
      </c>
      <c r="F39">
        <v>10</v>
      </c>
      <c r="G39">
        <v>580</v>
      </c>
      <c r="H39">
        <v>3.7000000476837158</v>
      </c>
      <c r="I39">
        <v>3890</v>
      </c>
      <c r="J39">
        <v>1.0198800563812256</v>
      </c>
      <c r="K39">
        <v>3.6398899555206299</v>
      </c>
    </row>
    <row r="40" spans="4:11" x14ac:dyDescent="0.25">
      <c r="D40">
        <v>36</v>
      </c>
      <c r="E40" s="1" t="s">
        <v>410</v>
      </c>
      <c r="F40">
        <v>7</v>
      </c>
      <c r="G40">
        <v>390</v>
      </c>
      <c r="H40">
        <v>3.5375900268554688</v>
      </c>
      <c r="I40">
        <v>105000</v>
      </c>
      <c r="J40">
        <v>1.7726999521255493</v>
      </c>
      <c r="K40">
        <v>3.6283199787139901</v>
      </c>
    </row>
    <row r="41" spans="4:11" x14ac:dyDescent="0.25">
      <c r="D41">
        <v>37</v>
      </c>
      <c r="E41" s="1" t="s">
        <v>411</v>
      </c>
      <c r="F41">
        <v>7</v>
      </c>
      <c r="G41">
        <v>370</v>
      </c>
      <c r="H41">
        <v>3.334589958190918</v>
      </c>
      <c r="I41">
        <v>227000</v>
      </c>
      <c r="J41">
        <v>2.6810500621795654</v>
      </c>
      <c r="K41">
        <v>3.6074800491332999</v>
      </c>
    </row>
    <row r="42" spans="4:11" x14ac:dyDescent="0.25">
      <c r="D42">
        <v>38</v>
      </c>
      <c r="E42" s="1" t="s">
        <v>412</v>
      </c>
      <c r="F42">
        <v>5</v>
      </c>
      <c r="G42">
        <v>180</v>
      </c>
      <c r="H42">
        <v>2.1368401050567627</v>
      </c>
      <c r="I42">
        <v>937000</v>
      </c>
      <c r="J42">
        <v>7.9673700332641602</v>
      </c>
      <c r="K42">
        <v>3.4702699184417698</v>
      </c>
    </row>
    <row r="43" spans="4:11" x14ac:dyDescent="0.25">
      <c r="D43">
        <v>39</v>
      </c>
      <c r="E43" s="1" t="s">
        <v>413</v>
      </c>
      <c r="F43">
        <v>3</v>
      </c>
      <c r="G43">
        <v>160</v>
      </c>
      <c r="H43">
        <v>3.368419885635376</v>
      </c>
      <c r="I43">
        <v>98600</v>
      </c>
      <c r="J43">
        <v>1.7250499725341797</v>
      </c>
      <c r="K43">
        <v>3.4537699222564702</v>
      </c>
    </row>
    <row r="44" spans="4:11" x14ac:dyDescent="0.25">
      <c r="D44">
        <v>40</v>
      </c>
      <c r="E44" s="1" t="s">
        <v>414</v>
      </c>
      <c r="F44">
        <v>10</v>
      </c>
      <c r="G44">
        <v>490</v>
      </c>
      <c r="H44">
        <v>3.0605299472808838</v>
      </c>
      <c r="I44">
        <v>185000</v>
      </c>
      <c r="J44">
        <v>2.368340015411377</v>
      </c>
      <c r="K44">
        <v>3.2787098884582502</v>
      </c>
    </row>
    <row r="45" spans="4:11" x14ac:dyDescent="0.25">
      <c r="D45">
        <v>41</v>
      </c>
      <c r="E45" s="1" t="s">
        <v>415</v>
      </c>
      <c r="F45">
        <v>5</v>
      </c>
      <c r="G45">
        <v>260</v>
      </c>
      <c r="H45">
        <v>3.2736799716949463</v>
      </c>
      <c r="I45">
        <v>7700</v>
      </c>
      <c r="J45">
        <v>1.0482499599456787</v>
      </c>
      <c r="K45">
        <v>3.2290298938751198</v>
      </c>
    </row>
    <row r="46" spans="4:11" x14ac:dyDescent="0.25">
      <c r="D46">
        <v>42</v>
      </c>
      <c r="E46" s="1" t="s">
        <v>416</v>
      </c>
      <c r="F46">
        <v>3</v>
      </c>
      <c r="G46">
        <v>120</v>
      </c>
      <c r="H46">
        <v>2.4210500717163086</v>
      </c>
      <c r="I46">
        <v>487000</v>
      </c>
      <c r="J46">
        <v>4.6168899536132813</v>
      </c>
      <c r="K46">
        <v>3.0933599472045898</v>
      </c>
    </row>
    <row r="47" spans="4:11" x14ac:dyDescent="0.25">
      <c r="D47">
        <v>43</v>
      </c>
      <c r="E47" s="1" t="s">
        <v>417</v>
      </c>
      <c r="F47">
        <v>6</v>
      </c>
      <c r="G47">
        <v>290</v>
      </c>
      <c r="H47">
        <v>3.0131599903106689</v>
      </c>
      <c r="I47">
        <v>64100</v>
      </c>
      <c r="J47">
        <v>1.4681700468063354</v>
      </c>
      <c r="K47">
        <v>3.0566000938415501</v>
      </c>
    </row>
    <row r="48" spans="4:11" x14ac:dyDescent="0.25">
      <c r="D48">
        <v>44</v>
      </c>
      <c r="E48" s="1" t="s">
        <v>418</v>
      </c>
      <c r="F48">
        <v>5</v>
      </c>
      <c r="G48">
        <v>240</v>
      </c>
      <c r="H48">
        <v>2.9894700050354004</v>
      </c>
      <c r="I48">
        <v>75400</v>
      </c>
      <c r="J48">
        <v>1.5523099899291992</v>
      </c>
      <c r="K48">
        <v>3.0499000549316402</v>
      </c>
    </row>
    <row r="49" spans="4:11" x14ac:dyDescent="0.25">
      <c r="D49">
        <v>45</v>
      </c>
      <c r="E49" s="1" t="s">
        <v>419</v>
      </c>
      <c r="F49">
        <v>8</v>
      </c>
      <c r="G49">
        <v>240</v>
      </c>
      <c r="H49">
        <v>1.7105300426483154</v>
      </c>
      <c r="I49">
        <v>928000</v>
      </c>
      <c r="J49">
        <v>7.900360107421875</v>
      </c>
      <c r="K49">
        <v>3.0407800674438499</v>
      </c>
    </row>
    <row r="50" spans="4:11" x14ac:dyDescent="0.25">
      <c r="D50">
        <v>46</v>
      </c>
      <c r="E50" s="1" t="s">
        <v>420</v>
      </c>
      <c r="F50">
        <v>3</v>
      </c>
      <c r="G50">
        <v>120</v>
      </c>
      <c r="H50">
        <v>2.4210500717163086</v>
      </c>
      <c r="I50">
        <v>418000</v>
      </c>
      <c r="J50">
        <v>4.1031498908996582</v>
      </c>
      <c r="K50">
        <v>2.9930000305175799</v>
      </c>
    </row>
    <row r="51" spans="4:11" x14ac:dyDescent="0.25">
      <c r="D51">
        <v>47</v>
      </c>
      <c r="E51" s="1" t="s">
        <v>421</v>
      </c>
      <c r="F51">
        <v>16</v>
      </c>
      <c r="G51">
        <v>640</v>
      </c>
      <c r="H51">
        <v>2.4210500717163086</v>
      </c>
      <c r="I51">
        <v>356000</v>
      </c>
      <c r="J51">
        <v>3.6415200233459473</v>
      </c>
      <c r="K51">
        <v>2.90282011032104</v>
      </c>
    </row>
    <row r="52" spans="4:11" x14ac:dyDescent="0.25">
      <c r="D52">
        <v>48</v>
      </c>
      <c r="E52" s="1" t="s">
        <v>422</v>
      </c>
      <c r="F52">
        <v>5</v>
      </c>
      <c r="G52">
        <v>230</v>
      </c>
      <c r="H52">
        <v>2.847369909286499</v>
      </c>
      <c r="I52">
        <v>42300</v>
      </c>
      <c r="J52">
        <v>1.3058600425720215</v>
      </c>
      <c r="K52">
        <v>2.8629601001739502</v>
      </c>
    </row>
    <row r="53" spans="4:11" x14ac:dyDescent="0.25">
      <c r="D53">
        <v>49</v>
      </c>
      <c r="E53" s="1" t="s">
        <v>423</v>
      </c>
      <c r="F53">
        <v>3</v>
      </c>
      <c r="G53">
        <v>140</v>
      </c>
      <c r="H53">
        <v>2.894740104675293</v>
      </c>
      <c r="I53">
        <v>1480</v>
      </c>
      <c r="J53">
        <v>1.0019400119781494</v>
      </c>
      <c r="K53">
        <v>2.8498499393463099</v>
      </c>
    </row>
    <row r="54" spans="4:11" x14ac:dyDescent="0.25">
      <c r="D54">
        <v>50</v>
      </c>
      <c r="E54" s="1" t="s">
        <v>424</v>
      </c>
      <c r="F54">
        <v>4</v>
      </c>
      <c r="G54">
        <v>180</v>
      </c>
      <c r="H54">
        <v>2.7763199806213379</v>
      </c>
      <c r="I54">
        <v>37000</v>
      </c>
      <c r="J54">
        <v>1.2663999795913696</v>
      </c>
      <c r="K54">
        <v>2.78585004806519</v>
      </c>
    </row>
    <row r="55" spans="4:11" x14ac:dyDescent="0.25">
      <c r="D55">
        <v>51</v>
      </c>
      <c r="E55" s="1" t="s">
        <v>425</v>
      </c>
      <c r="F55">
        <v>6</v>
      </c>
      <c r="G55">
        <v>270</v>
      </c>
      <c r="H55">
        <v>2.7763199806213379</v>
      </c>
      <c r="I55">
        <v>11100</v>
      </c>
      <c r="J55">
        <v>1.0735599994659424</v>
      </c>
      <c r="K55">
        <v>2.74817991256714</v>
      </c>
    </row>
    <row r="56" spans="4:11" x14ac:dyDescent="0.25">
      <c r="D56">
        <v>52</v>
      </c>
      <c r="E56" s="1" t="s">
        <v>426</v>
      </c>
      <c r="F56">
        <v>7</v>
      </c>
      <c r="G56">
        <v>310</v>
      </c>
      <c r="H56">
        <v>2.7255599498748779</v>
      </c>
      <c r="I56">
        <v>42300</v>
      </c>
      <c r="J56">
        <v>1.3058600425720215</v>
      </c>
      <c r="K56">
        <v>2.74398994445801</v>
      </c>
    </row>
    <row r="57" spans="4:11" x14ac:dyDescent="0.25">
      <c r="D57">
        <v>53</v>
      </c>
      <c r="E57" s="1" t="s">
        <v>427</v>
      </c>
      <c r="F57">
        <v>4</v>
      </c>
      <c r="G57">
        <v>180</v>
      </c>
      <c r="H57">
        <v>2.7763199806213379</v>
      </c>
      <c r="I57">
        <v>5480</v>
      </c>
      <c r="J57">
        <v>1.0317200422286987</v>
      </c>
      <c r="K57">
        <v>2.7400100231170699</v>
      </c>
    </row>
    <row r="58" spans="4:11" x14ac:dyDescent="0.25">
      <c r="D58">
        <v>54</v>
      </c>
      <c r="E58" s="1" t="s">
        <v>428</v>
      </c>
      <c r="F58">
        <v>3</v>
      </c>
      <c r="G58">
        <v>120</v>
      </c>
      <c r="H58">
        <v>2.4210500717163086</v>
      </c>
      <c r="I58">
        <v>244000</v>
      </c>
      <c r="J58">
        <v>2.8076200485229492</v>
      </c>
      <c r="K58">
        <v>2.73992991447449</v>
      </c>
    </row>
    <row r="59" spans="4:11" x14ac:dyDescent="0.25">
      <c r="D59">
        <v>55</v>
      </c>
      <c r="E59" s="1" t="s">
        <v>328</v>
      </c>
      <c r="F59">
        <v>9</v>
      </c>
      <c r="G59">
        <v>380</v>
      </c>
      <c r="H59">
        <v>2.5789499282836914</v>
      </c>
      <c r="I59">
        <v>97300</v>
      </c>
      <c r="J59">
        <v>1.7153700590133667</v>
      </c>
      <c r="K59">
        <v>2.6807799339294398</v>
      </c>
    </row>
    <row r="60" spans="4:11" x14ac:dyDescent="0.25">
      <c r="D60">
        <v>56</v>
      </c>
      <c r="E60" s="1" t="s">
        <v>429</v>
      </c>
      <c r="F60">
        <v>4</v>
      </c>
      <c r="G60">
        <v>170</v>
      </c>
      <c r="H60">
        <v>2.5986800193786621</v>
      </c>
      <c r="I60">
        <v>59100</v>
      </c>
      <c r="J60">
        <v>1.4309500455856323</v>
      </c>
      <c r="K60">
        <v>2.6444900035858199</v>
      </c>
    </row>
    <row r="61" spans="4:11" x14ac:dyDescent="0.25">
      <c r="D61">
        <v>57</v>
      </c>
      <c r="E61" s="1" t="s">
        <v>430</v>
      </c>
      <c r="F61">
        <v>3</v>
      </c>
      <c r="G61">
        <v>130</v>
      </c>
      <c r="H61">
        <v>2.6578900814056396</v>
      </c>
      <c r="I61">
        <v>14700</v>
      </c>
      <c r="J61">
        <v>1.1003700494766235</v>
      </c>
      <c r="K61">
        <v>2.6377499103546098</v>
      </c>
    </row>
    <row r="62" spans="4:11" x14ac:dyDescent="0.25">
      <c r="D62">
        <v>58</v>
      </c>
      <c r="E62" s="1" t="s">
        <v>431</v>
      </c>
      <c r="F62">
        <v>3</v>
      </c>
      <c r="G62">
        <v>130</v>
      </c>
      <c r="H62">
        <v>2.6578900814056396</v>
      </c>
      <c r="I62">
        <v>3030</v>
      </c>
      <c r="J62">
        <v>1.0134799480438232</v>
      </c>
      <c r="K62">
        <v>2.6207799911499001</v>
      </c>
    </row>
    <row r="63" spans="4:11" x14ac:dyDescent="0.25">
      <c r="D63">
        <v>59</v>
      </c>
      <c r="E63" s="1" t="s">
        <v>432</v>
      </c>
      <c r="F63">
        <v>4</v>
      </c>
      <c r="G63">
        <v>80</v>
      </c>
      <c r="H63">
        <v>1</v>
      </c>
      <c r="I63">
        <v>1060000</v>
      </c>
      <c r="J63">
        <v>8.8831701278686523</v>
      </c>
      <c r="K63">
        <v>2.5387699604034402</v>
      </c>
    </row>
    <row r="64" spans="4:11" x14ac:dyDescent="0.25">
      <c r="D64">
        <v>60</v>
      </c>
      <c r="E64" s="1" t="s">
        <v>433</v>
      </c>
      <c r="F64">
        <v>3</v>
      </c>
      <c r="G64">
        <v>120</v>
      </c>
      <c r="H64">
        <v>2.4210500717163086</v>
      </c>
      <c r="I64">
        <v>29900</v>
      </c>
      <c r="J64">
        <v>1.2135399580001831</v>
      </c>
      <c r="K64">
        <v>2.4285299777984601</v>
      </c>
    </row>
    <row r="65" spans="4:11" x14ac:dyDescent="0.25">
      <c r="D65">
        <v>61</v>
      </c>
      <c r="E65" s="1" t="s">
        <v>434</v>
      </c>
      <c r="F65">
        <v>3</v>
      </c>
      <c r="G65">
        <v>120</v>
      </c>
      <c r="H65">
        <v>2.4210500717163086</v>
      </c>
      <c r="I65">
        <v>1220</v>
      </c>
      <c r="J65">
        <v>1</v>
      </c>
      <c r="K65">
        <v>2.3868100643157999</v>
      </c>
    </row>
    <row r="66" spans="4:11" x14ac:dyDescent="0.25">
      <c r="D66">
        <v>62</v>
      </c>
      <c r="E66" s="1" t="s">
        <v>435</v>
      </c>
      <c r="F66">
        <v>5</v>
      </c>
      <c r="G66">
        <v>140</v>
      </c>
      <c r="H66">
        <v>1.5684200525283813</v>
      </c>
      <c r="I66">
        <v>542000</v>
      </c>
      <c r="J66">
        <v>5.0263900756835938</v>
      </c>
      <c r="K66">
        <v>2.3405599594116202</v>
      </c>
    </row>
    <row r="67" spans="4:11" x14ac:dyDescent="0.25">
      <c r="D67">
        <v>63</v>
      </c>
      <c r="E67" s="1" t="s">
        <v>436</v>
      </c>
      <c r="F67">
        <v>5</v>
      </c>
      <c r="G67">
        <v>190</v>
      </c>
      <c r="H67">
        <v>2.2789499759674072</v>
      </c>
      <c r="I67">
        <v>53700</v>
      </c>
      <c r="J67">
        <v>1.3907400369644165</v>
      </c>
      <c r="K67">
        <v>2.32434010505676</v>
      </c>
    </row>
    <row r="68" spans="4:11" x14ac:dyDescent="0.25">
      <c r="D68">
        <v>64</v>
      </c>
      <c r="E68" s="1" t="s">
        <v>437</v>
      </c>
      <c r="F68">
        <v>3</v>
      </c>
      <c r="G68">
        <v>110</v>
      </c>
      <c r="H68">
        <v>2.1842100620269775</v>
      </c>
      <c r="I68">
        <v>67500</v>
      </c>
      <c r="J68">
        <v>1.4934899806976318</v>
      </c>
      <c r="K68">
        <v>2.2518799304962198</v>
      </c>
    </row>
    <row r="69" spans="4:11" x14ac:dyDescent="0.25">
      <c r="D69">
        <v>66</v>
      </c>
      <c r="E69" s="1" t="s">
        <v>438</v>
      </c>
      <c r="F69">
        <v>6</v>
      </c>
      <c r="G69">
        <v>220</v>
      </c>
      <c r="H69">
        <v>2.1842100620269775</v>
      </c>
      <c r="I69">
        <v>9420</v>
      </c>
      <c r="J69">
        <v>1.0610500574111938</v>
      </c>
      <c r="K69">
        <v>2.1674098968505899</v>
      </c>
    </row>
    <row r="70" spans="4:11" x14ac:dyDescent="0.25">
      <c r="D70">
        <v>67</v>
      </c>
      <c r="E70" s="1" t="s">
        <v>439</v>
      </c>
      <c r="F70">
        <v>3</v>
      </c>
      <c r="G70">
        <v>60</v>
      </c>
      <c r="H70">
        <v>1</v>
      </c>
      <c r="I70">
        <v>786000</v>
      </c>
      <c r="J70">
        <v>6.8431000709533691</v>
      </c>
      <c r="K70">
        <v>2.1402499675750701</v>
      </c>
    </row>
    <row r="71" spans="4:11" x14ac:dyDescent="0.25">
      <c r="D71">
        <v>68</v>
      </c>
      <c r="E71" s="1" t="s">
        <v>440</v>
      </c>
      <c r="F71">
        <v>4</v>
      </c>
      <c r="G71">
        <v>140</v>
      </c>
      <c r="H71">
        <v>2.0657899379730225</v>
      </c>
      <c r="I71">
        <v>58700</v>
      </c>
      <c r="J71">
        <v>1.4279700517654419</v>
      </c>
      <c r="K71">
        <v>2.1234200000762899</v>
      </c>
    </row>
    <row r="72" spans="4:11" x14ac:dyDescent="0.25">
      <c r="D72">
        <v>69</v>
      </c>
      <c r="E72" s="1" t="s">
        <v>219</v>
      </c>
      <c r="F72">
        <v>3</v>
      </c>
      <c r="G72">
        <v>90</v>
      </c>
      <c r="H72">
        <v>1.7105300426483154</v>
      </c>
      <c r="I72">
        <v>278000</v>
      </c>
      <c r="J72">
        <v>3.0607700347900391</v>
      </c>
      <c r="K72">
        <v>2.09538006782532</v>
      </c>
    </row>
    <row r="73" spans="4:11" x14ac:dyDescent="0.25">
      <c r="D73">
        <v>70</v>
      </c>
      <c r="E73" s="1" t="s">
        <v>441</v>
      </c>
      <c r="F73">
        <v>3</v>
      </c>
      <c r="G73">
        <v>100</v>
      </c>
      <c r="H73">
        <v>1.9473700523376465</v>
      </c>
      <c r="I73">
        <v>75000</v>
      </c>
      <c r="J73">
        <v>1.5493299961090088</v>
      </c>
      <c r="K73">
        <v>2.0314600467681898</v>
      </c>
    </row>
    <row r="74" spans="4:11" x14ac:dyDescent="0.25">
      <c r="D74">
        <v>71</v>
      </c>
      <c r="E74" s="1" t="s">
        <v>442</v>
      </c>
      <c r="F74">
        <v>6</v>
      </c>
      <c r="G74">
        <v>190</v>
      </c>
      <c r="H74">
        <v>1.828950047492981</v>
      </c>
      <c r="I74">
        <v>18700</v>
      </c>
      <c r="J74">
        <v>1.1301499605178833</v>
      </c>
      <c r="K74">
        <v>1.8339099884033201</v>
      </c>
    </row>
    <row r="75" spans="4:11" x14ac:dyDescent="0.25">
      <c r="D75">
        <v>72</v>
      </c>
      <c r="E75" s="1" t="s">
        <v>443</v>
      </c>
      <c r="F75">
        <v>8</v>
      </c>
      <c r="G75">
        <v>250</v>
      </c>
      <c r="H75">
        <v>1.7993400096893311</v>
      </c>
      <c r="I75">
        <v>24800</v>
      </c>
      <c r="J75">
        <v>1.175570011138916</v>
      </c>
      <c r="K75">
        <v>1.81386005878448</v>
      </c>
    </row>
    <row r="76" spans="4:11" x14ac:dyDescent="0.25">
      <c r="D76">
        <v>73</v>
      </c>
      <c r="E76" s="1" t="s">
        <v>444</v>
      </c>
      <c r="F76">
        <v>3</v>
      </c>
      <c r="G76">
        <v>90</v>
      </c>
      <c r="H76">
        <v>1.7105300426483154</v>
      </c>
      <c r="I76">
        <v>79500</v>
      </c>
      <c r="J76">
        <v>1.5828399658203125</v>
      </c>
      <c r="K76">
        <v>1.8066699504852299</v>
      </c>
    </row>
    <row r="77" spans="4:11" x14ac:dyDescent="0.25">
      <c r="D77">
        <v>74</v>
      </c>
      <c r="E77" s="1" t="s">
        <v>445</v>
      </c>
      <c r="F77">
        <v>3</v>
      </c>
      <c r="G77">
        <v>90</v>
      </c>
      <c r="H77">
        <v>1.7105300426483154</v>
      </c>
      <c r="I77">
        <v>23200</v>
      </c>
      <c r="J77">
        <v>1.1636500358581543</v>
      </c>
      <c r="K77">
        <v>1.7247899770736701</v>
      </c>
    </row>
    <row r="78" spans="4:11" x14ac:dyDescent="0.25">
      <c r="D78">
        <v>75</v>
      </c>
      <c r="E78" s="1" t="s">
        <v>446</v>
      </c>
      <c r="F78">
        <v>4</v>
      </c>
      <c r="G78">
        <v>120</v>
      </c>
      <c r="H78">
        <v>1.7105300426483154</v>
      </c>
      <c r="I78">
        <v>11400</v>
      </c>
      <c r="J78">
        <v>1.0757999420166016</v>
      </c>
      <c r="K78">
        <v>1.70762002468109</v>
      </c>
    </row>
    <row r="79" spans="4:11" x14ac:dyDescent="0.25">
      <c r="D79">
        <v>76</v>
      </c>
      <c r="E79" s="1" t="s">
        <v>447</v>
      </c>
      <c r="F79">
        <v>4</v>
      </c>
      <c r="G79">
        <v>120</v>
      </c>
      <c r="H79">
        <v>1.7105300426483154</v>
      </c>
      <c r="I79">
        <v>10300</v>
      </c>
      <c r="J79">
        <v>1.0676100254058838</v>
      </c>
      <c r="K79">
        <v>1.7060199975967401</v>
      </c>
    </row>
    <row r="80" spans="4:11" x14ac:dyDescent="0.25">
      <c r="D80">
        <v>77</v>
      </c>
      <c r="E80" s="1" t="s">
        <v>448</v>
      </c>
      <c r="F80">
        <v>3</v>
      </c>
      <c r="G80">
        <v>90</v>
      </c>
      <c r="H80">
        <v>1.7105300426483154</v>
      </c>
      <c r="I80">
        <v>3160</v>
      </c>
      <c r="J80">
        <v>1.0144399404525757</v>
      </c>
      <c r="K80">
        <v>1.6956399679184</v>
      </c>
    </row>
    <row r="81" spans="4:11" x14ac:dyDescent="0.25">
      <c r="D81">
        <v>78</v>
      </c>
      <c r="E81" s="1" t="s">
        <v>449</v>
      </c>
      <c r="F81">
        <v>5</v>
      </c>
      <c r="G81">
        <v>130</v>
      </c>
      <c r="H81">
        <v>1.42631995677948</v>
      </c>
      <c r="I81">
        <v>149000</v>
      </c>
      <c r="J81">
        <v>2.1003000736236572</v>
      </c>
      <c r="K81">
        <v>1.63015997409821</v>
      </c>
    </row>
    <row r="82" spans="4:11" x14ac:dyDescent="0.25">
      <c r="D82">
        <v>79</v>
      </c>
      <c r="E82" s="1" t="s">
        <v>450</v>
      </c>
      <c r="F82">
        <v>6</v>
      </c>
      <c r="G82">
        <v>170</v>
      </c>
      <c r="H82">
        <v>1.5921100378036499</v>
      </c>
      <c r="I82">
        <v>28300</v>
      </c>
      <c r="J82">
        <v>1.2016199827194214</v>
      </c>
      <c r="K82">
        <v>1.6165399551391599</v>
      </c>
    </row>
    <row r="83" spans="4:11" x14ac:dyDescent="0.25">
      <c r="D83">
        <v>80</v>
      </c>
      <c r="E83" s="1" t="s">
        <v>451</v>
      </c>
      <c r="F83">
        <v>5</v>
      </c>
      <c r="G83">
        <v>140</v>
      </c>
      <c r="H83">
        <v>1.5684200525283813</v>
      </c>
      <c r="I83">
        <v>36900</v>
      </c>
      <c r="J83">
        <v>1.2656600475311279</v>
      </c>
      <c r="K83">
        <v>1.6059099435806301</v>
      </c>
    </row>
    <row r="84" spans="4:11" x14ac:dyDescent="0.25">
      <c r="D84">
        <v>81</v>
      </c>
      <c r="E84" s="1" t="s">
        <v>452</v>
      </c>
      <c r="F84">
        <v>3</v>
      </c>
      <c r="G84">
        <v>80</v>
      </c>
      <c r="H84">
        <v>1.4736800193786621</v>
      </c>
      <c r="I84">
        <v>95800</v>
      </c>
      <c r="J84">
        <v>1.7042000293731689</v>
      </c>
      <c r="K84">
        <v>1.59905004501343</v>
      </c>
    </row>
    <row r="85" spans="4:11" x14ac:dyDescent="0.25">
      <c r="D85">
        <v>82</v>
      </c>
      <c r="E85" s="1" t="s">
        <v>453</v>
      </c>
      <c r="F85">
        <v>5</v>
      </c>
      <c r="G85">
        <v>140</v>
      </c>
      <c r="H85">
        <v>1.5684200525283813</v>
      </c>
      <c r="I85">
        <v>24800</v>
      </c>
      <c r="J85">
        <v>1.175570011138916</v>
      </c>
      <c r="K85">
        <v>1.5883100032806401</v>
      </c>
    </row>
    <row r="86" spans="4:11" x14ac:dyDescent="0.25">
      <c r="D86">
        <v>83</v>
      </c>
      <c r="E86" s="1" t="s">
        <v>454</v>
      </c>
      <c r="F86">
        <v>4</v>
      </c>
      <c r="G86">
        <v>110</v>
      </c>
      <c r="H86">
        <v>1.5328899621963501</v>
      </c>
      <c r="I86">
        <v>32800</v>
      </c>
      <c r="J86">
        <v>1.2351299524307251</v>
      </c>
      <c r="K86">
        <v>1.5652500391006501</v>
      </c>
    </row>
    <row r="87" spans="4:11" x14ac:dyDescent="0.25">
      <c r="D87">
        <v>84</v>
      </c>
      <c r="E87" s="1" t="s">
        <v>455</v>
      </c>
      <c r="F87">
        <v>3</v>
      </c>
      <c r="G87">
        <v>80</v>
      </c>
      <c r="H87">
        <v>1.4736800193786621</v>
      </c>
      <c r="I87">
        <v>9400</v>
      </c>
      <c r="J87">
        <v>1.0608999729156494</v>
      </c>
      <c r="K87">
        <v>1.4733799695968599</v>
      </c>
    </row>
    <row r="88" spans="4:11" x14ac:dyDescent="0.25">
      <c r="D88">
        <v>85</v>
      </c>
      <c r="E88" s="1" t="s">
        <v>456</v>
      </c>
      <c r="F88">
        <v>3</v>
      </c>
      <c r="G88">
        <v>80</v>
      </c>
      <c r="H88">
        <v>1.4736800193786621</v>
      </c>
      <c r="I88">
        <v>6560</v>
      </c>
      <c r="J88">
        <v>1.0397599935531616</v>
      </c>
      <c r="K88">
        <v>1.46924996376038</v>
      </c>
    </row>
    <row r="89" spans="4:11" x14ac:dyDescent="0.25">
      <c r="D89">
        <v>86</v>
      </c>
      <c r="E89" s="1" t="s">
        <v>457</v>
      </c>
      <c r="F89">
        <v>8</v>
      </c>
      <c r="G89">
        <v>210</v>
      </c>
      <c r="H89">
        <v>1.4440799951553345</v>
      </c>
      <c r="I89">
        <v>25900</v>
      </c>
      <c r="J89">
        <v>1.1837600469589233</v>
      </c>
      <c r="K89">
        <v>1.4684599637985201</v>
      </c>
    </row>
    <row r="90" spans="4:11" x14ac:dyDescent="0.25">
      <c r="D90">
        <v>87</v>
      </c>
      <c r="E90" s="1" t="s">
        <v>199</v>
      </c>
      <c r="F90">
        <v>9</v>
      </c>
      <c r="G90">
        <v>230</v>
      </c>
      <c r="H90">
        <v>1.3947399854660034</v>
      </c>
      <c r="I90">
        <v>57600</v>
      </c>
      <c r="J90">
        <v>1.4197800159454346</v>
      </c>
      <c r="K90">
        <v>1.46638000011444</v>
      </c>
    </row>
    <row r="91" spans="4:11" x14ac:dyDescent="0.25">
      <c r="D91">
        <v>88</v>
      </c>
      <c r="E91" s="1" t="s">
        <v>458</v>
      </c>
      <c r="F91">
        <v>3</v>
      </c>
      <c r="G91">
        <v>80</v>
      </c>
      <c r="H91">
        <v>1.4736800193786621</v>
      </c>
      <c r="I91">
        <v>4190</v>
      </c>
      <c r="J91">
        <v>1.0221099853515625</v>
      </c>
      <c r="K91">
        <v>1.4658000469207799</v>
      </c>
    </row>
    <row r="92" spans="4:11" x14ac:dyDescent="0.25">
      <c r="D92">
        <v>89</v>
      </c>
      <c r="E92" s="1" t="s">
        <v>459</v>
      </c>
      <c r="F92">
        <v>4</v>
      </c>
      <c r="G92">
        <v>100</v>
      </c>
      <c r="H92">
        <v>1.3552600145339966</v>
      </c>
      <c r="I92">
        <v>71100</v>
      </c>
      <c r="J92">
        <v>1.5202900171279907</v>
      </c>
      <c r="K92">
        <v>1.44746005535126</v>
      </c>
    </row>
    <row r="93" spans="4:11" x14ac:dyDescent="0.25">
      <c r="D93">
        <v>90</v>
      </c>
      <c r="E93" s="1" t="s">
        <v>460</v>
      </c>
      <c r="F93">
        <v>5</v>
      </c>
      <c r="G93">
        <v>130</v>
      </c>
      <c r="H93">
        <v>1.42631995677948</v>
      </c>
      <c r="I93">
        <v>22800</v>
      </c>
      <c r="J93">
        <v>1.1606700420379639</v>
      </c>
      <c r="K93">
        <v>1.44660997390747</v>
      </c>
    </row>
    <row r="94" spans="4:11" x14ac:dyDescent="0.25">
      <c r="D94">
        <v>91</v>
      </c>
      <c r="E94" s="1" t="s">
        <v>461</v>
      </c>
      <c r="F94">
        <v>5</v>
      </c>
      <c r="G94">
        <v>130</v>
      </c>
      <c r="H94">
        <v>1.42631995677948</v>
      </c>
      <c r="I94">
        <v>13800</v>
      </c>
      <c r="J94">
        <v>1.0936599969863892</v>
      </c>
      <c r="K94">
        <v>1.4335199594497701</v>
      </c>
    </row>
    <row r="95" spans="4:11" x14ac:dyDescent="0.25">
      <c r="D95">
        <v>92</v>
      </c>
      <c r="E95" s="1" t="s">
        <v>462</v>
      </c>
      <c r="F95">
        <v>6</v>
      </c>
      <c r="G95">
        <v>150</v>
      </c>
      <c r="H95">
        <v>1.3552600145339966</v>
      </c>
      <c r="I95">
        <v>35100</v>
      </c>
      <c r="J95">
        <v>1.2522499561309814</v>
      </c>
      <c r="K95">
        <v>1.3950999975204501</v>
      </c>
    </row>
    <row r="96" spans="4:11" x14ac:dyDescent="0.25">
      <c r="D96">
        <v>93</v>
      </c>
      <c r="E96" s="1" t="s">
        <v>463</v>
      </c>
      <c r="F96">
        <v>4</v>
      </c>
      <c r="G96">
        <v>100</v>
      </c>
      <c r="H96">
        <v>1.3552600145339966</v>
      </c>
      <c r="I96">
        <v>1780</v>
      </c>
      <c r="J96">
        <v>1.0041699409484863</v>
      </c>
      <c r="K96">
        <v>1.34662997722626</v>
      </c>
    </row>
    <row r="97" spans="4:11" x14ac:dyDescent="0.25">
      <c r="D97">
        <v>94</v>
      </c>
      <c r="E97" s="1" t="s">
        <v>464</v>
      </c>
      <c r="F97">
        <v>4</v>
      </c>
      <c r="G97">
        <v>90</v>
      </c>
      <c r="H97">
        <v>1.1776299476623535</v>
      </c>
      <c r="I97">
        <v>96200</v>
      </c>
      <c r="J97">
        <v>1.7071800231933594</v>
      </c>
      <c r="K97">
        <v>1.31046998500824</v>
      </c>
    </row>
    <row r="98" spans="4:11" x14ac:dyDescent="0.25">
      <c r="D98">
        <v>95</v>
      </c>
      <c r="E98" s="1" t="s">
        <v>465</v>
      </c>
      <c r="F98">
        <v>5</v>
      </c>
      <c r="G98">
        <v>120</v>
      </c>
      <c r="H98">
        <v>1.2842099666595459</v>
      </c>
      <c r="I98">
        <v>5370</v>
      </c>
      <c r="J98">
        <v>1.0309000015258789</v>
      </c>
      <c r="K98">
        <v>1.28245997428894</v>
      </c>
    </row>
    <row r="99" spans="4:11" x14ac:dyDescent="0.25">
      <c r="D99">
        <v>96</v>
      </c>
      <c r="E99" s="1" t="s">
        <v>466</v>
      </c>
      <c r="F99">
        <v>3</v>
      </c>
      <c r="G99">
        <v>70</v>
      </c>
      <c r="H99">
        <v>1.2368400096893311</v>
      </c>
      <c r="I99">
        <v>13900</v>
      </c>
      <c r="J99">
        <v>1.0944099426269531</v>
      </c>
      <c r="K99">
        <v>1.2486000061035201</v>
      </c>
    </row>
    <row r="100" spans="4:11" x14ac:dyDescent="0.25">
      <c r="D100">
        <v>97</v>
      </c>
      <c r="E100" s="1" t="s">
        <v>467</v>
      </c>
      <c r="F100">
        <v>6</v>
      </c>
      <c r="G100">
        <v>130</v>
      </c>
      <c r="H100">
        <v>1.1184200048446655</v>
      </c>
      <c r="I100">
        <v>93300</v>
      </c>
      <c r="J100">
        <v>1.6855800151824951</v>
      </c>
      <c r="K100">
        <v>1.2484099864959699</v>
      </c>
    </row>
    <row r="101" spans="4:11" x14ac:dyDescent="0.25">
      <c r="D101">
        <v>98</v>
      </c>
      <c r="E101" s="1" t="s">
        <v>468</v>
      </c>
      <c r="F101">
        <v>3</v>
      </c>
      <c r="G101">
        <v>70</v>
      </c>
      <c r="H101">
        <v>1.2368400096893311</v>
      </c>
      <c r="I101">
        <v>3150</v>
      </c>
      <c r="J101">
        <v>1.0143699645996094</v>
      </c>
      <c r="K101">
        <v>1.23295998573303</v>
      </c>
    </row>
    <row r="102" spans="4:11" x14ac:dyDescent="0.25">
      <c r="D102">
        <v>99</v>
      </c>
      <c r="E102" s="1" t="s">
        <v>469</v>
      </c>
      <c r="F102">
        <v>3</v>
      </c>
      <c r="G102">
        <v>70</v>
      </c>
      <c r="H102">
        <v>1.2368400096893311</v>
      </c>
      <c r="I102">
        <v>3100</v>
      </c>
      <c r="J102">
        <v>1.0140000581741333</v>
      </c>
      <c r="K102">
        <v>1.2328900098800699</v>
      </c>
    </row>
    <row r="103" spans="4:11" x14ac:dyDescent="0.25">
      <c r="D103">
        <v>100</v>
      </c>
      <c r="E103" s="1" t="s">
        <v>470</v>
      </c>
      <c r="F103">
        <v>3</v>
      </c>
      <c r="G103">
        <v>70</v>
      </c>
      <c r="H103">
        <v>1.2368400096893311</v>
      </c>
      <c r="I103">
        <v>2300</v>
      </c>
      <c r="J103">
        <v>1.0080399513244629</v>
      </c>
      <c r="K103">
        <v>1.2317199707031199</v>
      </c>
    </row>
    <row r="104" spans="4:11" x14ac:dyDescent="0.25">
      <c r="D104">
        <v>101</v>
      </c>
      <c r="E104" s="1" t="s">
        <v>471</v>
      </c>
      <c r="F104">
        <v>4</v>
      </c>
      <c r="G104">
        <v>90</v>
      </c>
      <c r="H104">
        <v>1.1776299476623535</v>
      </c>
      <c r="I104">
        <v>41500</v>
      </c>
      <c r="J104">
        <v>1.2999099493026733</v>
      </c>
      <c r="K104">
        <v>1.2309099435806301</v>
      </c>
    </row>
    <row r="105" spans="4:11" x14ac:dyDescent="0.25">
      <c r="D105">
        <v>102</v>
      </c>
      <c r="E105" s="1" t="s">
        <v>472</v>
      </c>
      <c r="F105">
        <v>3</v>
      </c>
      <c r="G105">
        <v>70</v>
      </c>
      <c r="H105">
        <v>1.2368400096893311</v>
      </c>
      <c r="I105">
        <v>1710</v>
      </c>
      <c r="J105">
        <v>1.0036499500274658</v>
      </c>
      <c r="K105">
        <v>1.2308700084686299</v>
      </c>
    </row>
    <row r="106" spans="4:11" x14ac:dyDescent="0.25">
      <c r="D106">
        <v>103</v>
      </c>
      <c r="E106" s="1" t="s">
        <v>473</v>
      </c>
      <c r="F106">
        <v>4</v>
      </c>
      <c r="G106">
        <v>90</v>
      </c>
      <c r="H106">
        <v>1.1776299476623535</v>
      </c>
      <c r="I106">
        <v>29400</v>
      </c>
      <c r="J106">
        <v>1.2098100185394287</v>
      </c>
      <c r="K106">
        <v>1.2133100032806401</v>
      </c>
    </row>
    <row r="107" spans="4:11" x14ac:dyDescent="0.25">
      <c r="D107">
        <v>105</v>
      </c>
      <c r="E107" s="1" t="s">
        <v>474</v>
      </c>
      <c r="F107">
        <v>6</v>
      </c>
      <c r="G107">
        <v>130</v>
      </c>
      <c r="H107">
        <v>1.1184200048446655</v>
      </c>
      <c r="I107">
        <v>6430</v>
      </c>
      <c r="J107">
        <v>1.0387899875640869</v>
      </c>
      <c r="K107">
        <v>1.12206995487213</v>
      </c>
    </row>
    <row r="108" spans="4:11" x14ac:dyDescent="0.25">
      <c r="D108">
        <v>106</v>
      </c>
      <c r="E108" s="1" t="s">
        <v>475</v>
      </c>
      <c r="F108">
        <v>6</v>
      </c>
      <c r="G108">
        <v>130</v>
      </c>
      <c r="H108">
        <v>1.1184200048446655</v>
      </c>
      <c r="I108">
        <v>4020</v>
      </c>
      <c r="J108">
        <v>1.0208499431610107</v>
      </c>
      <c r="K108">
        <v>1.1185599565505999</v>
      </c>
    </row>
    <row r="109" spans="4:11" x14ac:dyDescent="0.25">
      <c r="D109">
        <v>107</v>
      </c>
      <c r="E109" s="1" t="s">
        <v>476</v>
      </c>
      <c r="F109">
        <v>3</v>
      </c>
      <c r="G109">
        <v>60</v>
      </c>
      <c r="H109">
        <v>1</v>
      </c>
      <c r="I109">
        <v>64400</v>
      </c>
      <c r="J109">
        <v>1.4704099893569946</v>
      </c>
      <c r="K109">
        <v>1.09071004390717</v>
      </c>
    </row>
    <row r="110" spans="4:11" x14ac:dyDescent="0.25">
      <c r="D110">
        <v>108</v>
      </c>
      <c r="E110" s="1" t="s">
        <v>477</v>
      </c>
      <c r="F110">
        <v>3</v>
      </c>
      <c r="G110">
        <v>60</v>
      </c>
      <c r="H110">
        <v>1</v>
      </c>
      <c r="I110">
        <v>52400</v>
      </c>
      <c r="J110">
        <v>1.381060004234314</v>
      </c>
      <c r="K110">
        <v>1.07325994968414</v>
      </c>
    </row>
    <row r="111" spans="4:11" x14ac:dyDescent="0.25">
      <c r="D111">
        <v>109</v>
      </c>
      <c r="E111" s="1" t="s">
        <v>478</v>
      </c>
      <c r="F111">
        <v>3</v>
      </c>
      <c r="G111">
        <v>60</v>
      </c>
      <c r="H111">
        <v>1</v>
      </c>
      <c r="I111">
        <v>51200</v>
      </c>
      <c r="J111">
        <v>1.3721300363540649</v>
      </c>
      <c r="K111">
        <v>1.0715199708938601</v>
      </c>
    </row>
    <row r="112" spans="4:11" x14ac:dyDescent="0.25">
      <c r="D112">
        <v>110</v>
      </c>
      <c r="E112" s="1" t="s">
        <v>479</v>
      </c>
      <c r="F112">
        <v>3</v>
      </c>
      <c r="G112">
        <v>60</v>
      </c>
      <c r="H112">
        <v>1</v>
      </c>
      <c r="I112">
        <v>45900</v>
      </c>
      <c r="J112">
        <v>1.3326699733734131</v>
      </c>
      <c r="K112">
        <v>1.06380999088287</v>
      </c>
    </row>
    <row r="113" spans="4:11" x14ac:dyDescent="0.25">
      <c r="D113">
        <v>111</v>
      </c>
      <c r="E113" s="1" t="s">
        <v>480</v>
      </c>
      <c r="F113">
        <v>3</v>
      </c>
      <c r="G113">
        <v>60</v>
      </c>
      <c r="H113">
        <v>1</v>
      </c>
      <c r="I113">
        <v>39500</v>
      </c>
      <c r="J113">
        <v>1.2850099802017212</v>
      </c>
      <c r="K113">
        <v>1.05449998378754</v>
      </c>
    </row>
    <row r="114" spans="4:11" x14ac:dyDescent="0.25">
      <c r="D114">
        <v>112</v>
      </c>
      <c r="E114" s="1" t="s">
        <v>481</v>
      </c>
      <c r="F114">
        <v>3</v>
      </c>
      <c r="G114">
        <v>60</v>
      </c>
      <c r="H114">
        <v>1</v>
      </c>
      <c r="I114">
        <v>29700</v>
      </c>
      <c r="J114">
        <v>1.2120499610900879</v>
      </c>
      <c r="K114">
        <v>1.04024004936218</v>
      </c>
    </row>
    <row r="115" spans="4:11" x14ac:dyDescent="0.25">
      <c r="D115">
        <v>113</v>
      </c>
      <c r="E115" s="1" t="s">
        <v>482</v>
      </c>
      <c r="F115">
        <v>3</v>
      </c>
      <c r="G115">
        <v>60</v>
      </c>
      <c r="H115">
        <v>1</v>
      </c>
      <c r="I115">
        <v>14800</v>
      </c>
      <c r="J115">
        <v>1.1011099815368652</v>
      </c>
      <c r="K115">
        <v>1.0185699462890601</v>
      </c>
    </row>
    <row r="116" spans="4:11" x14ac:dyDescent="0.25">
      <c r="D116">
        <v>114</v>
      </c>
      <c r="E116" s="1" t="s">
        <v>483</v>
      </c>
      <c r="F116">
        <v>3</v>
      </c>
      <c r="G116">
        <v>60</v>
      </c>
      <c r="H116">
        <v>1</v>
      </c>
      <c r="I116">
        <v>9930</v>
      </c>
      <c r="J116">
        <v>1.0648499727249146</v>
      </c>
      <c r="K116">
        <v>1.0114899873733501</v>
      </c>
    </row>
    <row r="117" spans="4:11" x14ac:dyDescent="0.25">
      <c r="D117">
        <v>115</v>
      </c>
      <c r="E117" s="1" t="s">
        <v>484</v>
      </c>
      <c r="F117">
        <v>3</v>
      </c>
      <c r="G117">
        <v>60</v>
      </c>
      <c r="H117">
        <v>1</v>
      </c>
      <c r="I117">
        <v>6710</v>
      </c>
      <c r="J117">
        <v>1.0408799648284912</v>
      </c>
      <c r="K117">
        <v>1.0068099498748799</v>
      </c>
    </row>
    <row r="118" spans="4:11" x14ac:dyDescent="0.25">
      <c r="D118">
        <v>116</v>
      </c>
      <c r="E118" s="1" t="s">
        <v>485</v>
      </c>
      <c r="F118">
        <v>3</v>
      </c>
      <c r="G118">
        <v>60</v>
      </c>
      <c r="H118">
        <v>1</v>
      </c>
      <c r="I118">
        <v>4380</v>
      </c>
      <c r="J118">
        <v>1.0235300064086914</v>
      </c>
      <c r="K118">
        <v>1.0034199953079199</v>
      </c>
    </row>
    <row r="119" spans="4:11" x14ac:dyDescent="0.25">
      <c r="D119">
        <v>117</v>
      </c>
      <c r="E119" s="1" t="s">
        <v>486</v>
      </c>
      <c r="F119">
        <v>4</v>
      </c>
      <c r="G119">
        <v>80</v>
      </c>
      <c r="H119">
        <v>1</v>
      </c>
      <c r="I119">
        <v>2420</v>
      </c>
      <c r="J119">
        <v>1.008929967880249</v>
      </c>
      <c r="K119">
        <v>1.0005700588226301</v>
      </c>
    </row>
    <row r="120" spans="4:11" x14ac:dyDescent="0.25">
      <c r="D120">
        <v>118</v>
      </c>
      <c r="E120" s="1" t="s">
        <v>487</v>
      </c>
      <c r="F120">
        <v>3</v>
      </c>
      <c r="G120">
        <v>60</v>
      </c>
      <c r="H120">
        <v>1</v>
      </c>
      <c r="I120">
        <v>2030</v>
      </c>
      <c r="J120">
        <v>1.0060299634933472</v>
      </c>
      <c r="K120">
        <v>1</v>
      </c>
    </row>
  </sheetData>
  <mergeCells count="36">
    <mergeCell ref="AA22:AF22"/>
    <mergeCell ref="AA23:AB23"/>
    <mergeCell ref="AE23:AF23"/>
    <mergeCell ref="T18:Y18"/>
    <mergeCell ref="T22:Y22"/>
    <mergeCell ref="T23:U23"/>
    <mergeCell ref="X23:Y23"/>
    <mergeCell ref="M18:R18"/>
    <mergeCell ref="M19:N19"/>
    <mergeCell ref="Q19:R19"/>
    <mergeCell ref="M20:N20"/>
    <mergeCell ref="Q20:R20"/>
    <mergeCell ref="M16:N16"/>
    <mergeCell ref="AE16:AF16"/>
    <mergeCell ref="AA14:AF14"/>
    <mergeCell ref="T14:Y14"/>
    <mergeCell ref="M14:R14"/>
    <mergeCell ref="AE15:AF15"/>
    <mergeCell ref="AA16:AB16"/>
    <mergeCell ref="X16:Y16"/>
    <mergeCell ref="T16:U16"/>
    <mergeCell ref="Q16:R16"/>
    <mergeCell ref="X15:Y15"/>
    <mergeCell ref="T15:U15"/>
    <mergeCell ref="Q15:R15"/>
    <mergeCell ref="M15:N15"/>
    <mergeCell ref="AA15:AB15"/>
    <mergeCell ref="AA9:AE9"/>
    <mergeCell ref="D3:K3"/>
    <mergeCell ref="A1:J1"/>
    <mergeCell ref="R4:T4"/>
    <mergeCell ref="W4:Y4"/>
    <mergeCell ref="M9:Q9"/>
    <mergeCell ref="M4:P4"/>
    <mergeCell ref="M3:Z3"/>
    <mergeCell ref="T9:X9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8FE5B-1A14-45D3-BB98-EB753A74FD96}">
  <sheetPr codeName="Sheet3"/>
  <dimension ref="A2:I120"/>
  <sheetViews>
    <sheetView workbookViewId="0">
      <selection activeCell="K11" sqref="K11"/>
    </sheetView>
  </sheetViews>
  <sheetFormatPr defaultRowHeight="15" x14ac:dyDescent="0.25"/>
  <cols>
    <col min="6" max="6" width="27" customWidth="1"/>
    <col min="7" max="7" width="14.140625" customWidth="1"/>
    <col min="8" max="8" width="13.28515625" customWidth="1"/>
    <col min="13" max="13" width="25.5703125" bestFit="1" customWidth="1"/>
    <col min="14" max="14" width="16.7109375" bestFit="1" customWidth="1"/>
    <col min="15" max="15" width="17.85546875" bestFit="1" customWidth="1"/>
  </cols>
  <sheetData>
    <row r="2" spans="1:9" x14ac:dyDescent="0.25">
      <c r="A2" t="s">
        <v>518</v>
      </c>
    </row>
    <row r="3" spans="1:9" x14ac:dyDescent="0.25">
      <c r="A3" t="s">
        <v>519</v>
      </c>
    </row>
    <row r="4" spans="1:9" x14ac:dyDescent="0.25">
      <c r="E4" s="8" t="s">
        <v>373</v>
      </c>
      <c r="F4" s="9" t="s">
        <v>374</v>
      </c>
      <c r="G4" s="9" t="s">
        <v>2</v>
      </c>
      <c r="H4" s="9" t="s">
        <v>3</v>
      </c>
      <c r="I4" s="9" t="s">
        <v>3</v>
      </c>
    </row>
    <row r="5" spans="1:9" x14ac:dyDescent="0.25">
      <c r="E5" s="10">
        <v>29</v>
      </c>
      <c r="F5" s="11" t="s">
        <v>403</v>
      </c>
      <c r="G5" s="14">
        <v>19</v>
      </c>
      <c r="H5" s="14">
        <v>1050</v>
      </c>
      <c r="I5">
        <f t="shared" ref="I5:I36" si="0">H5</f>
        <v>1050</v>
      </c>
    </row>
    <row r="6" spans="1:9" x14ac:dyDescent="0.25">
      <c r="E6" s="10">
        <v>5</v>
      </c>
      <c r="F6" s="11" t="s">
        <v>380</v>
      </c>
      <c r="G6" s="14">
        <v>10</v>
      </c>
      <c r="H6" s="14">
        <v>950</v>
      </c>
      <c r="I6">
        <f t="shared" si="0"/>
        <v>950</v>
      </c>
    </row>
    <row r="7" spans="1:9" x14ac:dyDescent="0.25">
      <c r="E7" s="12">
        <v>32</v>
      </c>
      <c r="F7" s="13" t="s">
        <v>406</v>
      </c>
      <c r="G7" s="15">
        <v>17</v>
      </c>
      <c r="H7" s="15">
        <v>680</v>
      </c>
      <c r="I7">
        <f t="shared" si="0"/>
        <v>680</v>
      </c>
    </row>
    <row r="8" spans="1:9" x14ac:dyDescent="0.25">
      <c r="E8" s="12">
        <v>18</v>
      </c>
      <c r="F8" s="13" t="s">
        <v>392</v>
      </c>
      <c r="G8" s="15">
        <v>11</v>
      </c>
      <c r="H8" s="15">
        <v>670</v>
      </c>
      <c r="I8">
        <f t="shared" si="0"/>
        <v>670</v>
      </c>
    </row>
    <row r="9" spans="1:9" x14ac:dyDescent="0.25">
      <c r="E9" s="10">
        <v>47</v>
      </c>
      <c r="F9" s="11" t="s">
        <v>421</v>
      </c>
      <c r="G9" s="14">
        <v>16</v>
      </c>
      <c r="H9" s="14">
        <v>640</v>
      </c>
      <c r="I9">
        <f t="shared" si="0"/>
        <v>640</v>
      </c>
    </row>
    <row r="10" spans="1:9" x14ac:dyDescent="0.25">
      <c r="E10" s="12">
        <v>10</v>
      </c>
      <c r="F10" s="13" t="s">
        <v>384</v>
      </c>
      <c r="G10" s="15">
        <v>7</v>
      </c>
      <c r="H10" s="15">
        <v>600</v>
      </c>
      <c r="I10">
        <f t="shared" si="0"/>
        <v>600</v>
      </c>
    </row>
    <row r="11" spans="1:9" x14ac:dyDescent="0.25">
      <c r="E11" s="12">
        <v>34</v>
      </c>
      <c r="F11" s="13" t="s">
        <v>408</v>
      </c>
      <c r="G11" s="15">
        <v>10</v>
      </c>
      <c r="H11" s="15">
        <v>580</v>
      </c>
      <c r="I11">
        <f t="shared" si="0"/>
        <v>580</v>
      </c>
    </row>
    <row r="12" spans="1:9" x14ac:dyDescent="0.25">
      <c r="E12" s="10">
        <v>35</v>
      </c>
      <c r="F12" s="11" t="s">
        <v>409</v>
      </c>
      <c r="G12" s="14">
        <v>10</v>
      </c>
      <c r="H12" s="14">
        <v>580</v>
      </c>
      <c r="I12">
        <f t="shared" si="0"/>
        <v>580</v>
      </c>
    </row>
    <row r="13" spans="1:9" x14ac:dyDescent="0.25">
      <c r="E13" s="12">
        <v>14</v>
      </c>
      <c r="F13" s="13" t="s">
        <v>388</v>
      </c>
      <c r="G13" s="15">
        <v>8</v>
      </c>
      <c r="H13" s="15">
        <v>560</v>
      </c>
      <c r="I13">
        <f t="shared" si="0"/>
        <v>560</v>
      </c>
    </row>
    <row r="14" spans="1:9" x14ac:dyDescent="0.25">
      <c r="E14" s="10">
        <v>13</v>
      </c>
      <c r="F14" s="11" t="s">
        <v>387</v>
      </c>
      <c r="G14" s="14">
        <v>8</v>
      </c>
      <c r="H14" s="14">
        <v>510</v>
      </c>
      <c r="I14">
        <f t="shared" si="0"/>
        <v>510</v>
      </c>
    </row>
    <row r="15" spans="1:9" x14ac:dyDescent="0.25">
      <c r="E15" s="12">
        <v>40</v>
      </c>
      <c r="F15" s="13" t="s">
        <v>414</v>
      </c>
      <c r="G15" s="15">
        <v>10</v>
      </c>
      <c r="H15" s="15">
        <v>490</v>
      </c>
      <c r="I15">
        <f t="shared" si="0"/>
        <v>490</v>
      </c>
    </row>
    <row r="16" spans="1:9" x14ac:dyDescent="0.25">
      <c r="E16" s="10">
        <v>1</v>
      </c>
      <c r="F16" s="11" t="s">
        <v>376</v>
      </c>
      <c r="G16" s="14">
        <v>3</v>
      </c>
      <c r="H16" s="14">
        <v>440</v>
      </c>
      <c r="I16">
        <f t="shared" si="0"/>
        <v>440</v>
      </c>
    </row>
    <row r="17" spans="5:9" x14ac:dyDescent="0.25">
      <c r="E17" s="12">
        <v>2</v>
      </c>
      <c r="F17" s="13" t="s">
        <v>377</v>
      </c>
      <c r="G17" s="15">
        <v>4</v>
      </c>
      <c r="H17" s="15">
        <v>440</v>
      </c>
      <c r="I17">
        <f t="shared" si="0"/>
        <v>440</v>
      </c>
    </row>
    <row r="18" spans="5:9" x14ac:dyDescent="0.25">
      <c r="E18" s="10">
        <v>3</v>
      </c>
      <c r="F18" s="11" t="s">
        <v>378</v>
      </c>
      <c r="G18" s="14">
        <v>5</v>
      </c>
      <c r="H18" s="14">
        <v>430</v>
      </c>
      <c r="I18">
        <f t="shared" si="0"/>
        <v>430</v>
      </c>
    </row>
    <row r="19" spans="5:9" x14ac:dyDescent="0.25">
      <c r="E19" s="12">
        <v>24</v>
      </c>
      <c r="F19" s="13" t="s">
        <v>398</v>
      </c>
      <c r="G19" s="15">
        <v>7</v>
      </c>
      <c r="H19" s="15">
        <v>420</v>
      </c>
      <c r="I19">
        <f t="shared" si="0"/>
        <v>420</v>
      </c>
    </row>
    <row r="20" spans="5:9" x14ac:dyDescent="0.25">
      <c r="E20" s="10">
        <v>23</v>
      </c>
      <c r="F20" s="11" t="s">
        <v>397</v>
      </c>
      <c r="G20" s="14">
        <v>6</v>
      </c>
      <c r="H20" s="14">
        <v>410</v>
      </c>
      <c r="I20">
        <f t="shared" si="0"/>
        <v>410</v>
      </c>
    </row>
    <row r="21" spans="5:9" x14ac:dyDescent="0.25">
      <c r="E21" s="10">
        <v>9</v>
      </c>
      <c r="F21" s="11" t="s">
        <v>383</v>
      </c>
      <c r="G21" s="14">
        <v>5</v>
      </c>
      <c r="H21" s="14">
        <v>400</v>
      </c>
      <c r="I21">
        <f t="shared" si="0"/>
        <v>400</v>
      </c>
    </row>
    <row r="22" spans="5:9" x14ac:dyDescent="0.25">
      <c r="E22" s="10">
        <v>7</v>
      </c>
      <c r="F22" s="11" t="s">
        <v>382</v>
      </c>
      <c r="G22" s="14">
        <v>6</v>
      </c>
      <c r="H22" s="14">
        <v>390</v>
      </c>
      <c r="I22">
        <f t="shared" si="0"/>
        <v>390</v>
      </c>
    </row>
    <row r="23" spans="5:9" x14ac:dyDescent="0.25">
      <c r="E23" s="12">
        <v>36</v>
      </c>
      <c r="F23" s="13" t="s">
        <v>410</v>
      </c>
      <c r="G23" s="15">
        <v>7</v>
      </c>
      <c r="H23" s="15">
        <v>390</v>
      </c>
      <c r="I23">
        <f t="shared" si="0"/>
        <v>390</v>
      </c>
    </row>
    <row r="24" spans="5:9" x14ac:dyDescent="0.25">
      <c r="E24" s="10">
        <v>55</v>
      </c>
      <c r="F24" s="11" t="s">
        <v>328</v>
      </c>
      <c r="G24" s="14">
        <v>9</v>
      </c>
      <c r="H24" s="14">
        <v>380</v>
      </c>
      <c r="I24">
        <f t="shared" si="0"/>
        <v>380</v>
      </c>
    </row>
    <row r="25" spans="5:9" x14ac:dyDescent="0.25">
      <c r="E25" s="10">
        <v>37</v>
      </c>
      <c r="F25" s="11" t="s">
        <v>411</v>
      </c>
      <c r="G25" s="14">
        <v>7</v>
      </c>
      <c r="H25" s="14">
        <v>370</v>
      </c>
      <c r="I25">
        <f t="shared" si="0"/>
        <v>370</v>
      </c>
    </row>
    <row r="26" spans="5:9" x14ac:dyDescent="0.25">
      <c r="E26" s="12">
        <v>4</v>
      </c>
      <c r="F26" s="13" t="s">
        <v>379</v>
      </c>
      <c r="G26" s="15">
        <v>4</v>
      </c>
      <c r="H26" s="15">
        <v>350</v>
      </c>
      <c r="I26">
        <f t="shared" si="0"/>
        <v>350</v>
      </c>
    </row>
    <row r="27" spans="5:9" x14ac:dyDescent="0.25">
      <c r="E27" s="10">
        <v>11</v>
      </c>
      <c r="F27" s="11" t="s">
        <v>385</v>
      </c>
      <c r="G27" s="14">
        <v>4</v>
      </c>
      <c r="H27" s="14">
        <v>330</v>
      </c>
      <c r="I27">
        <f t="shared" si="0"/>
        <v>330</v>
      </c>
    </row>
    <row r="28" spans="5:9" x14ac:dyDescent="0.25">
      <c r="E28" s="12">
        <v>26</v>
      </c>
      <c r="F28" s="13" t="s">
        <v>400</v>
      </c>
      <c r="G28" s="15">
        <v>5</v>
      </c>
      <c r="H28" s="15">
        <v>310</v>
      </c>
      <c r="I28">
        <f t="shared" si="0"/>
        <v>310</v>
      </c>
    </row>
    <row r="29" spans="5:9" x14ac:dyDescent="0.25">
      <c r="E29" s="12">
        <v>52</v>
      </c>
      <c r="F29" s="13" t="s">
        <v>426</v>
      </c>
      <c r="G29" s="15">
        <v>7</v>
      </c>
      <c r="H29" s="15">
        <v>310</v>
      </c>
      <c r="I29">
        <f t="shared" si="0"/>
        <v>310</v>
      </c>
    </row>
    <row r="30" spans="5:9" x14ac:dyDescent="0.25">
      <c r="E30" s="10">
        <v>15</v>
      </c>
      <c r="F30" s="11" t="s">
        <v>389</v>
      </c>
      <c r="G30" s="14">
        <v>5</v>
      </c>
      <c r="H30" s="14">
        <v>300</v>
      </c>
      <c r="I30">
        <f t="shared" si="0"/>
        <v>300</v>
      </c>
    </row>
    <row r="31" spans="5:9" x14ac:dyDescent="0.25">
      <c r="E31" s="12">
        <v>8</v>
      </c>
      <c r="F31" s="13" t="s">
        <v>39</v>
      </c>
      <c r="G31" s="15">
        <v>4</v>
      </c>
      <c r="H31" s="15">
        <v>290</v>
      </c>
      <c r="I31">
        <f t="shared" si="0"/>
        <v>290</v>
      </c>
    </row>
    <row r="32" spans="5:9" x14ac:dyDescent="0.25">
      <c r="E32" s="10">
        <v>43</v>
      </c>
      <c r="F32" s="11" t="s">
        <v>417</v>
      </c>
      <c r="G32" s="14">
        <v>6</v>
      </c>
      <c r="H32" s="14">
        <v>290</v>
      </c>
      <c r="I32">
        <f t="shared" si="0"/>
        <v>290</v>
      </c>
    </row>
    <row r="33" spans="5:9" x14ac:dyDescent="0.25">
      <c r="E33" s="12">
        <v>22</v>
      </c>
      <c r="F33" s="13" t="s">
        <v>396</v>
      </c>
      <c r="G33" s="15">
        <v>4</v>
      </c>
      <c r="H33" s="15">
        <v>280</v>
      </c>
      <c r="I33">
        <f t="shared" si="0"/>
        <v>280</v>
      </c>
    </row>
    <row r="34" spans="5:9" x14ac:dyDescent="0.25">
      <c r="E34" s="12">
        <v>6</v>
      </c>
      <c r="F34" s="13" t="s">
        <v>381</v>
      </c>
      <c r="G34" s="15">
        <v>3</v>
      </c>
      <c r="H34" s="15">
        <v>270</v>
      </c>
      <c r="I34">
        <f t="shared" si="0"/>
        <v>270</v>
      </c>
    </row>
    <row r="35" spans="5:9" x14ac:dyDescent="0.25">
      <c r="E35" s="12">
        <v>16</v>
      </c>
      <c r="F35" s="13" t="s">
        <v>390</v>
      </c>
      <c r="G35" s="15">
        <v>5</v>
      </c>
      <c r="H35" s="15">
        <v>270</v>
      </c>
      <c r="I35">
        <f t="shared" si="0"/>
        <v>270</v>
      </c>
    </row>
    <row r="36" spans="5:9" x14ac:dyDescent="0.25">
      <c r="E36" s="10">
        <v>51</v>
      </c>
      <c r="F36" s="11" t="s">
        <v>425</v>
      </c>
      <c r="G36" s="14">
        <v>6</v>
      </c>
      <c r="H36" s="14">
        <v>270</v>
      </c>
      <c r="I36">
        <f t="shared" si="0"/>
        <v>270</v>
      </c>
    </row>
    <row r="37" spans="5:9" x14ac:dyDescent="0.25">
      <c r="E37" s="10">
        <v>41</v>
      </c>
      <c r="F37" s="11" t="s">
        <v>415</v>
      </c>
      <c r="G37" s="14">
        <v>5</v>
      </c>
      <c r="H37" s="14">
        <v>260</v>
      </c>
      <c r="I37">
        <f t="shared" ref="I37:I68" si="1">H37</f>
        <v>260</v>
      </c>
    </row>
    <row r="38" spans="5:9" x14ac:dyDescent="0.25">
      <c r="E38" s="10">
        <v>25</v>
      </c>
      <c r="F38" s="11" t="s">
        <v>399</v>
      </c>
      <c r="G38" s="14">
        <v>4</v>
      </c>
      <c r="H38" s="14">
        <v>250</v>
      </c>
      <c r="I38">
        <f t="shared" si="1"/>
        <v>250</v>
      </c>
    </row>
    <row r="39" spans="5:9" x14ac:dyDescent="0.25">
      <c r="E39" s="10">
        <v>31</v>
      </c>
      <c r="F39" s="11" t="s">
        <v>405</v>
      </c>
      <c r="G39" s="14">
        <v>5</v>
      </c>
      <c r="H39" s="14">
        <v>250</v>
      </c>
      <c r="I39">
        <f t="shared" si="1"/>
        <v>250</v>
      </c>
    </row>
    <row r="40" spans="5:9" x14ac:dyDescent="0.25">
      <c r="E40" s="10">
        <v>72</v>
      </c>
      <c r="F40" s="11" t="s">
        <v>443</v>
      </c>
      <c r="G40" s="14">
        <v>8</v>
      </c>
      <c r="H40" s="14">
        <v>250</v>
      </c>
      <c r="I40">
        <f t="shared" si="1"/>
        <v>250</v>
      </c>
    </row>
    <row r="41" spans="5:9" x14ac:dyDescent="0.25">
      <c r="E41" s="12">
        <v>12</v>
      </c>
      <c r="F41" s="13" t="s">
        <v>386</v>
      </c>
      <c r="G41" s="15">
        <v>3</v>
      </c>
      <c r="H41" s="15">
        <v>240</v>
      </c>
      <c r="I41">
        <f t="shared" si="1"/>
        <v>240</v>
      </c>
    </row>
    <row r="42" spans="5:9" x14ac:dyDescent="0.25">
      <c r="E42" s="12">
        <v>44</v>
      </c>
      <c r="F42" s="13" t="s">
        <v>418</v>
      </c>
      <c r="G42" s="15">
        <v>5</v>
      </c>
      <c r="H42" s="15">
        <v>240</v>
      </c>
      <c r="I42">
        <f t="shared" si="1"/>
        <v>240</v>
      </c>
    </row>
    <row r="43" spans="5:9" x14ac:dyDescent="0.25">
      <c r="E43" s="10">
        <v>45</v>
      </c>
      <c r="F43" s="11" t="s">
        <v>419</v>
      </c>
      <c r="G43" s="14">
        <v>8</v>
      </c>
      <c r="H43" s="14">
        <v>240</v>
      </c>
      <c r="I43">
        <f t="shared" si="1"/>
        <v>240</v>
      </c>
    </row>
    <row r="44" spans="5:9" x14ac:dyDescent="0.25">
      <c r="E44" s="12">
        <v>48</v>
      </c>
      <c r="F44" s="13" t="s">
        <v>422</v>
      </c>
      <c r="G44" s="15">
        <v>5</v>
      </c>
      <c r="H44" s="15">
        <v>230</v>
      </c>
      <c r="I44">
        <f t="shared" si="1"/>
        <v>230</v>
      </c>
    </row>
    <row r="45" spans="5:9" x14ac:dyDescent="0.25">
      <c r="E45" s="12">
        <v>87</v>
      </c>
      <c r="F45" s="13" t="s">
        <v>199</v>
      </c>
      <c r="G45" s="15">
        <v>9</v>
      </c>
      <c r="H45" s="15">
        <v>230</v>
      </c>
      <c r="I45">
        <f t="shared" si="1"/>
        <v>230</v>
      </c>
    </row>
    <row r="46" spans="5:9" x14ac:dyDescent="0.25">
      <c r="E46" s="10">
        <v>19</v>
      </c>
      <c r="F46" s="11" t="s">
        <v>393</v>
      </c>
      <c r="G46" s="14">
        <v>3</v>
      </c>
      <c r="H46" s="14">
        <v>220</v>
      </c>
      <c r="I46">
        <f t="shared" si="1"/>
        <v>220</v>
      </c>
    </row>
    <row r="47" spans="5:9" x14ac:dyDescent="0.25">
      <c r="E47" s="12">
        <v>20</v>
      </c>
      <c r="F47" s="13" t="s">
        <v>394</v>
      </c>
      <c r="G47" s="15">
        <v>3</v>
      </c>
      <c r="H47" s="15">
        <v>220</v>
      </c>
      <c r="I47">
        <f t="shared" si="1"/>
        <v>220</v>
      </c>
    </row>
    <row r="48" spans="5:9" x14ac:dyDescent="0.25">
      <c r="E48" s="10">
        <v>66</v>
      </c>
      <c r="F48" s="11" t="s">
        <v>438</v>
      </c>
      <c r="G48" s="14">
        <v>6</v>
      </c>
      <c r="H48" s="14">
        <v>220</v>
      </c>
      <c r="I48">
        <f t="shared" si="1"/>
        <v>220</v>
      </c>
    </row>
    <row r="49" spans="5:9" x14ac:dyDescent="0.25">
      <c r="E49" s="10">
        <v>33</v>
      </c>
      <c r="F49" s="11" t="s">
        <v>407</v>
      </c>
      <c r="G49" s="14">
        <v>5</v>
      </c>
      <c r="H49" s="14">
        <v>210</v>
      </c>
      <c r="I49">
        <f t="shared" si="1"/>
        <v>210</v>
      </c>
    </row>
    <row r="50" spans="5:9" x14ac:dyDescent="0.25">
      <c r="E50" s="10">
        <v>86</v>
      </c>
      <c r="F50" s="11" t="s">
        <v>457</v>
      </c>
      <c r="G50" s="14">
        <v>8</v>
      </c>
      <c r="H50" s="14">
        <v>210</v>
      </c>
      <c r="I50">
        <f t="shared" si="1"/>
        <v>210</v>
      </c>
    </row>
    <row r="51" spans="5:9" x14ac:dyDescent="0.25">
      <c r="E51" s="10">
        <v>63</v>
      </c>
      <c r="F51" s="11" t="s">
        <v>436</v>
      </c>
      <c r="G51" s="14">
        <v>5</v>
      </c>
      <c r="H51" s="14">
        <v>190</v>
      </c>
      <c r="I51">
        <f t="shared" si="1"/>
        <v>190</v>
      </c>
    </row>
    <row r="52" spans="5:9" x14ac:dyDescent="0.25">
      <c r="E52" s="12">
        <v>71</v>
      </c>
      <c r="F52" s="13" t="s">
        <v>442</v>
      </c>
      <c r="G52" s="15">
        <v>6</v>
      </c>
      <c r="H52" s="15">
        <v>190</v>
      </c>
      <c r="I52">
        <f t="shared" si="1"/>
        <v>190</v>
      </c>
    </row>
    <row r="53" spans="5:9" x14ac:dyDescent="0.25">
      <c r="E53" s="12">
        <v>30</v>
      </c>
      <c r="F53" s="13" t="s">
        <v>404</v>
      </c>
      <c r="G53" s="15">
        <v>3</v>
      </c>
      <c r="H53" s="15">
        <v>180</v>
      </c>
      <c r="I53">
        <f t="shared" si="1"/>
        <v>180</v>
      </c>
    </row>
    <row r="54" spans="5:9" x14ac:dyDescent="0.25">
      <c r="E54" s="12">
        <v>38</v>
      </c>
      <c r="F54" s="13" t="s">
        <v>412</v>
      </c>
      <c r="G54" s="15">
        <v>5</v>
      </c>
      <c r="H54" s="15">
        <v>180</v>
      </c>
      <c r="I54">
        <f t="shared" si="1"/>
        <v>180</v>
      </c>
    </row>
    <row r="55" spans="5:9" x14ac:dyDescent="0.25">
      <c r="E55" s="12">
        <v>50</v>
      </c>
      <c r="F55" s="13" t="s">
        <v>424</v>
      </c>
      <c r="G55" s="15">
        <v>4</v>
      </c>
      <c r="H55" s="15">
        <v>180</v>
      </c>
      <c r="I55">
        <f t="shared" si="1"/>
        <v>180</v>
      </c>
    </row>
    <row r="56" spans="5:9" x14ac:dyDescent="0.25">
      <c r="E56" s="10">
        <v>53</v>
      </c>
      <c r="F56" s="11" t="s">
        <v>427</v>
      </c>
      <c r="G56" s="14">
        <v>4</v>
      </c>
      <c r="H56" s="14">
        <v>180</v>
      </c>
      <c r="I56">
        <f t="shared" si="1"/>
        <v>180</v>
      </c>
    </row>
    <row r="57" spans="5:9" x14ac:dyDescent="0.25">
      <c r="E57" s="10">
        <v>17</v>
      </c>
      <c r="F57" s="11" t="s">
        <v>391</v>
      </c>
      <c r="G57" s="14">
        <v>3</v>
      </c>
      <c r="H57" s="14">
        <v>170</v>
      </c>
      <c r="I57">
        <f t="shared" si="1"/>
        <v>170</v>
      </c>
    </row>
    <row r="58" spans="5:9" x14ac:dyDescent="0.25">
      <c r="E58" s="12">
        <v>56</v>
      </c>
      <c r="F58" s="13" t="s">
        <v>429</v>
      </c>
      <c r="G58" s="15">
        <v>4</v>
      </c>
      <c r="H58" s="15">
        <v>170</v>
      </c>
      <c r="I58">
        <f t="shared" si="1"/>
        <v>170</v>
      </c>
    </row>
    <row r="59" spans="5:9" x14ac:dyDescent="0.25">
      <c r="E59" s="12">
        <v>79</v>
      </c>
      <c r="F59" s="13" t="s">
        <v>450</v>
      </c>
      <c r="G59" s="15">
        <v>6</v>
      </c>
      <c r="H59" s="15">
        <v>170</v>
      </c>
      <c r="I59">
        <f t="shared" si="1"/>
        <v>170</v>
      </c>
    </row>
    <row r="60" spans="5:9" x14ac:dyDescent="0.25">
      <c r="E60" s="10">
        <v>27</v>
      </c>
      <c r="F60" s="11" t="s">
        <v>401</v>
      </c>
      <c r="G60" s="14">
        <v>3</v>
      </c>
      <c r="H60" s="14">
        <v>160</v>
      </c>
      <c r="I60">
        <f t="shared" si="1"/>
        <v>160</v>
      </c>
    </row>
    <row r="61" spans="5:9" x14ac:dyDescent="0.25">
      <c r="E61" s="10">
        <v>39</v>
      </c>
      <c r="F61" s="11" t="s">
        <v>413</v>
      </c>
      <c r="G61" s="14">
        <v>3</v>
      </c>
      <c r="H61" s="14">
        <v>160</v>
      </c>
      <c r="I61">
        <f t="shared" si="1"/>
        <v>160</v>
      </c>
    </row>
    <row r="62" spans="5:9" x14ac:dyDescent="0.25">
      <c r="E62" s="10">
        <v>92</v>
      </c>
      <c r="F62" s="11" t="s">
        <v>462</v>
      </c>
      <c r="G62" s="14">
        <v>6</v>
      </c>
      <c r="H62" s="14">
        <v>150</v>
      </c>
      <c r="I62">
        <f t="shared" si="1"/>
        <v>150</v>
      </c>
    </row>
    <row r="63" spans="5:9" x14ac:dyDescent="0.25">
      <c r="E63" s="10">
        <v>21</v>
      </c>
      <c r="F63" s="11" t="s">
        <v>395</v>
      </c>
      <c r="G63" s="14">
        <v>3</v>
      </c>
      <c r="H63" s="14">
        <v>140</v>
      </c>
      <c r="I63">
        <f t="shared" si="1"/>
        <v>140</v>
      </c>
    </row>
    <row r="64" spans="5:9" x14ac:dyDescent="0.25">
      <c r="E64" s="10">
        <v>49</v>
      </c>
      <c r="F64" s="11" t="s">
        <v>423</v>
      </c>
      <c r="G64" s="14">
        <v>3</v>
      </c>
      <c r="H64" s="14">
        <v>140</v>
      </c>
      <c r="I64">
        <f t="shared" si="1"/>
        <v>140</v>
      </c>
    </row>
    <row r="65" spans="5:9" x14ac:dyDescent="0.25">
      <c r="E65" s="12">
        <v>62</v>
      </c>
      <c r="F65" s="13" t="s">
        <v>435</v>
      </c>
      <c r="G65" s="15">
        <v>5</v>
      </c>
      <c r="H65" s="15">
        <v>140</v>
      </c>
      <c r="I65">
        <f t="shared" si="1"/>
        <v>140</v>
      </c>
    </row>
    <row r="66" spans="5:9" x14ac:dyDescent="0.25">
      <c r="E66" s="10">
        <v>68</v>
      </c>
      <c r="F66" s="11" t="s">
        <v>440</v>
      </c>
      <c r="G66" s="14">
        <v>4</v>
      </c>
      <c r="H66" s="14">
        <v>140</v>
      </c>
      <c r="I66">
        <f t="shared" si="1"/>
        <v>140</v>
      </c>
    </row>
    <row r="67" spans="5:9" x14ac:dyDescent="0.25">
      <c r="E67" s="10">
        <v>80</v>
      </c>
      <c r="F67" s="11" t="s">
        <v>451</v>
      </c>
      <c r="G67" s="14">
        <v>5</v>
      </c>
      <c r="H67" s="14">
        <v>140</v>
      </c>
      <c r="I67">
        <f t="shared" si="1"/>
        <v>140</v>
      </c>
    </row>
    <row r="68" spans="5:9" x14ac:dyDescent="0.25">
      <c r="E68" s="10">
        <v>82</v>
      </c>
      <c r="F68" s="11" t="s">
        <v>453</v>
      </c>
      <c r="G68" s="14">
        <v>5</v>
      </c>
      <c r="H68" s="14">
        <v>140</v>
      </c>
      <c r="I68">
        <f t="shared" si="1"/>
        <v>140</v>
      </c>
    </row>
    <row r="69" spans="5:9" x14ac:dyDescent="0.25">
      <c r="E69" s="10">
        <v>57</v>
      </c>
      <c r="F69" s="11" t="s">
        <v>430</v>
      </c>
      <c r="G69" s="14">
        <v>3</v>
      </c>
      <c r="H69" s="14">
        <v>130</v>
      </c>
      <c r="I69">
        <f t="shared" ref="I69:I100" si="2">H69</f>
        <v>130</v>
      </c>
    </row>
    <row r="70" spans="5:9" x14ac:dyDescent="0.25">
      <c r="E70" s="12">
        <v>58</v>
      </c>
      <c r="F70" s="13" t="s">
        <v>431</v>
      </c>
      <c r="G70" s="15">
        <v>3</v>
      </c>
      <c r="H70" s="15">
        <v>130</v>
      </c>
      <c r="I70">
        <f t="shared" si="2"/>
        <v>130</v>
      </c>
    </row>
    <row r="71" spans="5:9" x14ac:dyDescent="0.25">
      <c r="E71" s="10">
        <v>78</v>
      </c>
      <c r="F71" s="11" t="s">
        <v>449</v>
      </c>
      <c r="G71" s="14">
        <v>5</v>
      </c>
      <c r="H71" s="14">
        <v>130</v>
      </c>
      <c r="I71">
        <f t="shared" si="2"/>
        <v>130</v>
      </c>
    </row>
    <row r="72" spans="5:9" x14ac:dyDescent="0.25">
      <c r="E72" s="10">
        <v>90</v>
      </c>
      <c r="F72" s="11" t="s">
        <v>460</v>
      </c>
      <c r="G72" s="14">
        <v>5</v>
      </c>
      <c r="H72" s="14">
        <v>130</v>
      </c>
      <c r="I72">
        <f t="shared" si="2"/>
        <v>130</v>
      </c>
    </row>
    <row r="73" spans="5:9" x14ac:dyDescent="0.25">
      <c r="E73" s="12">
        <v>91</v>
      </c>
      <c r="F73" s="13" t="s">
        <v>461</v>
      </c>
      <c r="G73" s="15">
        <v>5</v>
      </c>
      <c r="H73" s="15">
        <v>130</v>
      </c>
      <c r="I73">
        <f t="shared" si="2"/>
        <v>130</v>
      </c>
    </row>
    <row r="74" spans="5:9" x14ac:dyDescent="0.25">
      <c r="E74" s="12">
        <v>97</v>
      </c>
      <c r="F74" s="13" t="s">
        <v>467</v>
      </c>
      <c r="G74" s="15">
        <v>6</v>
      </c>
      <c r="H74" s="15">
        <v>130</v>
      </c>
      <c r="I74">
        <f t="shared" si="2"/>
        <v>130</v>
      </c>
    </row>
    <row r="75" spans="5:9" x14ac:dyDescent="0.25">
      <c r="E75" s="10">
        <v>105</v>
      </c>
      <c r="F75" s="11" t="s">
        <v>474</v>
      </c>
      <c r="G75" s="14">
        <v>6</v>
      </c>
      <c r="H75" s="14">
        <v>130</v>
      </c>
      <c r="I75">
        <f t="shared" si="2"/>
        <v>130</v>
      </c>
    </row>
    <row r="76" spans="5:9" x14ac:dyDescent="0.25">
      <c r="E76" s="12">
        <v>106</v>
      </c>
      <c r="F76" s="13" t="s">
        <v>475</v>
      </c>
      <c r="G76" s="15">
        <v>6</v>
      </c>
      <c r="H76" s="15">
        <v>130</v>
      </c>
      <c r="I76">
        <f t="shared" si="2"/>
        <v>130</v>
      </c>
    </row>
    <row r="77" spans="5:9" x14ac:dyDescent="0.25">
      <c r="E77" s="12">
        <v>28</v>
      </c>
      <c r="F77" s="13" t="s">
        <v>402</v>
      </c>
      <c r="G77" s="15">
        <v>3</v>
      </c>
      <c r="H77" s="15">
        <v>120</v>
      </c>
      <c r="I77">
        <f t="shared" si="2"/>
        <v>120</v>
      </c>
    </row>
    <row r="78" spans="5:9" x14ac:dyDescent="0.25">
      <c r="E78" s="12">
        <v>42</v>
      </c>
      <c r="F78" s="13" t="s">
        <v>416</v>
      </c>
      <c r="G78" s="15">
        <v>3</v>
      </c>
      <c r="H78" s="15">
        <v>120</v>
      </c>
      <c r="I78">
        <f t="shared" si="2"/>
        <v>120</v>
      </c>
    </row>
    <row r="79" spans="5:9" x14ac:dyDescent="0.25">
      <c r="E79" s="12">
        <v>46</v>
      </c>
      <c r="F79" s="13" t="s">
        <v>420</v>
      </c>
      <c r="G79" s="15">
        <v>3</v>
      </c>
      <c r="H79" s="15">
        <v>120</v>
      </c>
      <c r="I79">
        <f t="shared" si="2"/>
        <v>120</v>
      </c>
    </row>
    <row r="80" spans="5:9" x14ac:dyDescent="0.25">
      <c r="E80" s="12">
        <v>54</v>
      </c>
      <c r="F80" s="13" t="s">
        <v>428</v>
      </c>
      <c r="G80" s="15">
        <v>3</v>
      </c>
      <c r="H80" s="15">
        <v>120</v>
      </c>
      <c r="I80">
        <f t="shared" si="2"/>
        <v>120</v>
      </c>
    </row>
    <row r="81" spans="5:9" x14ac:dyDescent="0.25">
      <c r="E81" s="12">
        <v>60</v>
      </c>
      <c r="F81" s="13" t="s">
        <v>433</v>
      </c>
      <c r="G81" s="15">
        <v>3</v>
      </c>
      <c r="H81" s="15">
        <v>120</v>
      </c>
      <c r="I81">
        <f t="shared" si="2"/>
        <v>120</v>
      </c>
    </row>
    <row r="82" spans="5:9" x14ac:dyDescent="0.25">
      <c r="E82" s="10">
        <v>61</v>
      </c>
      <c r="F82" s="11" t="s">
        <v>434</v>
      </c>
      <c r="G82" s="14">
        <v>3</v>
      </c>
      <c r="H82" s="14">
        <v>120</v>
      </c>
      <c r="I82">
        <f t="shared" si="2"/>
        <v>120</v>
      </c>
    </row>
    <row r="83" spans="5:9" x14ac:dyDescent="0.25">
      <c r="E83" s="12">
        <v>75</v>
      </c>
      <c r="F83" s="13" t="s">
        <v>446</v>
      </c>
      <c r="G83" s="15">
        <v>4</v>
      </c>
      <c r="H83" s="15">
        <v>120</v>
      </c>
      <c r="I83">
        <f t="shared" si="2"/>
        <v>120</v>
      </c>
    </row>
    <row r="84" spans="5:9" x14ac:dyDescent="0.25">
      <c r="E84" s="10">
        <v>76</v>
      </c>
      <c r="F84" s="11" t="s">
        <v>447</v>
      </c>
      <c r="G84" s="14">
        <v>4</v>
      </c>
      <c r="H84" s="14">
        <v>120</v>
      </c>
      <c r="I84">
        <f t="shared" si="2"/>
        <v>120</v>
      </c>
    </row>
    <row r="85" spans="5:9" x14ac:dyDescent="0.25">
      <c r="E85" s="12">
        <v>95</v>
      </c>
      <c r="F85" s="13" t="s">
        <v>465</v>
      </c>
      <c r="G85" s="15">
        <v>5</v>
      </c>
      <c r="H85" s="15">
        <v>120</v>
      </c>
      <c r="I85">
        <f t="shared" si="2"/>
        <v>120</v>
      </c>
    </row>
    <row r="86" spans="5:9" x14ac:dyDescent="0.25">
      <c r="E86" s="12">
        <v>64</v>
      </c>
      <c r="F86" s="13" t="s">
        <v>437</v>
      </c>
      <c r="G86" s="15">
        <v>3</v>
      </c>
      <c r="H86" s="15">
        <v>110</v>
      </c>
      <c r="I86">
        <f t="shared" si="2"/>
        <v>110</v>
      </c>
    </row>
    <row r="87" spans="5:9" x14ac:dyDescent="0.25">
      <c r="E87" s="12">
        <v>83</v>
      </c>
      <c r="F87" s="13" t="s">
        <v>454</v>
      </c>
      <c r="G87" s="15">
        <v>4</v>
      </c>
      <c r="H87" s="15">
        <v>110</v>
      </c>
      <c r="I87">
        <f t="shared" si="2"/>
        <v>110</v>
      </c>
    </row>
    <row r="88" spans="5:9" x14ac:dyDescent="0.25">
      <c r="E88" s="10">
        <v>70</v>
      </c>
      <c r="F88" s="11" t="s">
        <v>441</v>
      </c>
      <c r="G88" s="14">
        <v>3</v>
      </c>
      <c r="H88" s="14">
        <v>100</v>
      </c>
      <c r="I88">
        <f t="shared" si="2"/>
        <v>100</v>
      </c>
    </row>
    <row r="89" spans="5:9" x14ac:dyDescent="0.25">
      <c r="E89" s="12">
        <v>89</v>
      </c>
      <c r="F89" s="13" t="s">
        <v>459</v>
      </c>
      <c r="G89" s="15">
        <v>4</v>
      </c>
      <c r="H89" s="15">
        <v>100</v>
      </c>
      <c r="I89">
        <f t="shared" si="2"/>
        <v>100</v>
      </c>
    </row>
    <row r="90" spans="5:9" x14ac:dyDescent="0.25">
      <c r="E90" s="12">
        <v>93</v>
      </c>
      <c r="F90" s="13" t="s">
        <v>463</v>
      </c>
      <c r="G90" s="15">
        <v>4</v>
      </c>
      <c r="H90" s="15">
        <v>100</v>
      </c>
      <c r="I90">
        <f t="shared" si="2"/>
        <v>100</v>
      </c>
    </row>
    <row r="91" spans="5:9" x14ac:dyDescent="0.25">
      <c r="E91" s="12">
        <v>69</v>
      </c>
      <c r="F91" s="13" t="s">
        <v>219</v>
      </c>
      <c r="G91" s="15">
        <v>3</v>
      </c>
      <c r="H91" s="15">
        <v>90</v>
      </c>
      <c r="I91">
        <f t="shared" si="2"/>
        <v>90</v>
      </c>
    </row>
    <row r="92" spans="5:9" x14ac:dyDescent="0.25">
      <c r="E92" s="12">
        <v>73</v>
      </c>
      <c r="F92" s="13" t="s">
        <v>444</v>
      </c>
      <c r="G92" s="15">
        <v>3</v>
      </c>
      <c r="H92" s="15">
        <v>90</v>
      </c>
      <c r="I92">
        <f t="shared" si="2"/>
        <v>90</v>
      </c>
    </row>
    <row r="93" spans="5:9" x14ac:dyDescent="0.25">
      <c r="E93" s="10">
        <v>74</v>
      </c>
      <c r="F93" s="11" t="s">
        <v>445</v>
      </c>
      <c r="G93" s="14">
        <v>3</v>
      </c>
      <c r="H93" s="14">
        <v>90</v>
      </c>
      <c r="I93">
        <f t="shared" si="2"/>
        <v>90</v>
      </c>
    </row>
    <row r="94" spans="5:9" x14ac:dyDescent="0.25">
      <c r="E94" s="12">
        <v>77</v>
      </c>
      <c r="F94" s="13" t="s">
        <v>448</v>
      </c>
      <c r="G94" s="15">
        <v>3</v>
      </c>
      <c r="H94" s="15">
        <v>90</v>
      </c>
      <c r="I94">
        <f t="shared" si="2"/>
        <v>90</v>
      </c>
    </row>
    <row r="95" spans="5:9" x14ac:dyDescent="0.25">
      <c r="E95" s="10">
        <v>94</v>
      </c>
      <c r="F95" s="11" t="s">
        <v>464</v>
      </c>
      <c r="G95" s="14">
        <v>4</v>
      </c>
      <c r="H95" s="14">
        <v>90</v>
      </c>
      <c r="I95">
        <f t="shared" si="2"/>
        <v>90</v>
      </c>
    </row>
    <row r="96" spans="5:9" x14ac:dyDescent="0.25">
      <c r="E96" s="12">
        <v>101</v>
      </c>
      <c r="F96" s="13" t="s">
        <v>471</v>
      </c>
      <c r="G96" s="15">
        <v>4</v>
      </c>
      <c r="H96" s="15">
        <v>90</v>
      </c>
      <c r="I96">
        <f t="shared" si="2"/>
        <v>90</v>
      </c>
    </row>
    <row r="97" spans="5:9" x14ac:dyDescent="0.25">
      <c r="E97" s="12">
        <v>103</v>
      </c>
      <c r="F97" s="13" t="s">
        <v>473</v>
      </c>
      <c r="G97" s="15">
        <v>4</v>
      </c>
      <c r="H97" s="15">
        <v>90</v>
      </c>
      <c r="I97">
        <f t="shared" si="2"/>
        <v>90</v>
      </c>
    </row>
    <row r="98" spans="5:9" x14ac:dyDescent="0.25">
      <c r="E98" s="10">
        <v>59</v>
      </c>
      <c r="F98" s="11" t="s">
        <v>432</v>
      </c>
      <c r="G98" s="14">
        <v>4</v>
      </c>
      <c r="H98" s="14">
        <v>80</v>
      </c>
      <c r="I98">
        <f t="shared" si="2"/>
        <v>80</v>
      </c>
    </row>
    <row r="99" spans="5:9" x14ac:dyDescent="0.25">
      <c r="E99" s="12">
        <v>81</v>
      </c>
      <c r="F99" s="13" t="s">
        <v>452</v>
      </c>
      <c r="G99" s="15">
        <v>3</v>
      </c>
      <c r="H99" s="15">
        <v>80</v>
      </c>
      <c r="I99">
        <f t="shared" si="2"/>
        <v>80</v>
      </c>
    </row>
    <row r="100" spans="5:9" x14ac:dyDescent="0.25">
      <c r="E100" s="10">
        <v>84</v>
      </c>
      <c r="F100" s="11" t="s">
        <v>455</v>
      </c>
      <c r="G100" s="14">
        <v>3</v>
      </c>
      <c r="H100" s="14">
        <v>80</v>
      </c>
      <c r="I100">
        <f t="shared" si="2"/>
        <v>80</v>
      </c>
    </row>
    <row r="101" spans="5:9" x14ac:dyDescent="0.25">
      <c r="E101" s="12">
        <v>85</v>
      </c>
      <c r="F101" s="13" t="s">
        <v>456</v>
      </c>
      <c r="G101" s="15">
        <v>3</v>
      </c>
      <c r="H101" s="15">
        <v>80</v>
      </c>
      <c r="I101">
        <f t="shared" ref="I101:I120" si="3">H101</f>
        <v>80</v>
      </c>
    </row>
    <row r="102" spans="5:9" x14ac:dyDescent="0.25">
      <c r="E102" s="10">
        <v>88</v>
      </c>
      <c r="F102" s="11" t="s">
        <v>458</v>
      </c>
      <c r="G102" s="14">
        <v>3</v>
      </c>
      <c r="H102" s="14">
        <v>80</v>
      </c>
      <c r="I102">
        <f t="shared" si="3"/>
        <v>80</v>
      </c>
    </row>
    <row r="103" spans="5:9" x14ac:dyDescent="0.25">
      <c r="E103" s="10">
        <v>117</v>
      </c>
      <c r="F103" s="11" t="s">
        <v>486</v>
      </c>
      <c r="G103" s="14">
        <v>4</v>
      </c>
      <c r="H103" s="14">
        <v>80</v>
      </c>
      <c r="I103">
        <f t="shared" si="3"/>
        <v>80</v>
      </c>
    </row>
    <row r="104" spans="5:9" x14ac:dyDescent="0.25">
      <c r="E104" s="10">
        <v>96</v>
      </c>
      <c r="F104" s="11" t="s">
        <v>466</v>
      </c>
      <c r="G104" s="14">
        <v>3</v>
      </c>
      <c r="H104" s="14">
        <v>70</v>
      </c>
      <c r="I104">
        <f t="shared" si="3"/>
        <v>70</v>
      </c>
    </row>
    <row r="105" spans="5:9" x14ac:dyDescent="0.25">
      <c r="E105" s="10">
        <v>98</v>
      </c>
      <c r="F105" s="11" t="s">
        <v>468</v>
      </c>
      <c r="G105" s="14">
        <v>3</v>
      </c>
      <c r="H105" s="14">
        <v>70</v>
      </c>
      <c r="I105">
        <f t="shared" si="3"/>
        <v>70</v>
      </c>
    </row>
    <row r="106" spans="5:9" x14ac:dyDescent="0.25">
      <c r="E106" s="12">
        <v>99</v>
      </c>
      <c r="F106" s="13" t="s">
        <v>469</v>
      </c>
      <c r="G106" s="15">
        <v>3</v>
      </c>
      <c r="H106" s="15">
        <v>70</v>
      </c>
      <c r="I106">
        <f t="shared" si="3"/>
        <v>70</v>
      </c>
    </row>
    <row r="107" spans="5:9" x14ac:dyDescent="0.25">
      <c r="E107" s="10">
        <v>100</v>
      </c>
      <c r="F107" s="11" t="s">
        <v>470</v>
      </c>
      <c r="G107" s="14">
        <v>3</v>
      </c>
      <c r="H107" s="14">
        <v>70</v>
      </c>
      <c r="I107">
        <f t="shared" si="3"/>
        <v>70</v>
      </c>
    </row>
    <row r="108" spans="5:9" x14ac:dyDescent="0.25">
      <c r="E108" s="10">
        <v>102</v>
      </c>
      <c r="F108" s="11" t="s">
        <v>472</v>
      </c>
      <c r="G108" s="14">
        <v>3</v>
      </c>
      <c r="H108" s="14">
        <v>70</v>
      </c>
      <c r="I108">
        <f t="shared" si="3"/>
        <v>70</v>
      </c>
    </row>
    <row r="109" spans="5:9" x14ac:dyDescent="0.25">
      <c r="E109" s="12">
        <v>67</v>
      </c>
      <c r="F109" s="13" t="s">
        <v>439</v>
      </c>
      <c r="G109" s="15">
        <v>3</v>
      </c>
      <c r="H109" s="15">
        <v>60</v>
      </c>
      <c r="I109">
        <f t="shared" si="3"/>
        <v>60</v>
      </c>
    </row>
    <row r="110" spans="5:9" x14ac:dyDescent="0.25">
      <c r="E110" s="10">
        <v>107</v>
      </c>
      <c r="F110" s="11" t="s">
        <v>476</v>
      </c>
      <c r="G110" s="14">
        <v>3</v>
      </c>
      <c r="H110" s="14">
        <v>60</v>
      </c>
      <c r="I110">
        <f t="shared" si="3"/>
        <v>60</v>
      </c>
    </row>
    <row r="111" spans="5:9" x14ac:dyDescent="0.25">
      <c r="E111" s="12">
        <v>108</v>
      </c>
      <c r="F111" s="13" t="s">
        <v>477</v>
      </c>
      <c r="G111" s="15">
        <v>3</v>
      </c>
      <c r="H111" s="15">
        <v>60</v>
      </c>
      <c r="I111">
        <f t="shared" si="3"/>
        <v>60</v>
      </c>
    </row>
    <row r="112" spans="5:9" x14ac:dyDescent="0.25">
      <c r="E112" s="10">
        <v>109</v>
      </c>
      <c r="F112" s="11" t="s">
        <v>478</v>
      </c>
      <c r="G112" s="14">
        <v>3</v>
      </c>
      <c r="H112" s="14">
        <v>60</v>
      </c>
      <c r="I112">
        <f t="shared" si="3"/>
        <v>60</v>
      </c>
    </row>
    <row r="113" spans="5:9" x14ac:dyDescent="0.25">
      <c r="E113" s="12">
        <v>110</v>
      </c>
      <c r="F113" s="13" t="s">
        <v>479</v>
      </c>
      <c r="G113" s="15">
        <v>3</v>
      </c>
      <c r="H113" s="15">
        <v>60</v>
      </c>
      <c r="I113">
        <f t="shared" si="3"/>
        <v>60</v>
      </c>
    </row>
    <row r="114" spans="5:9" x14ac:dyDescent="0.25">
      <c r="E114" s="10">
        <v>111</v>
      </c>
      <c r="F114" s="11" t="s">
        <v>480</v>
      </c>
      <c r="G114" s="14">
        <v>3</v>
      </c>
      <c r="H114" s="14">
        <v>60</v>
      </c>
      <c r="I114">
        <f t="shared" si="3"/>
        <v>60</v>
      </c>
    </row>
    <row r="115" spans="5:9" x14ac:dyDescent="0.25">
      <c r="E115" s="12">
        <v>112</v>
      </c>
      <c r="F115" s="13" t="s">
        <v>481</v>
      </c>
      <c r="G115" s="15">
        <v>3</v>
      </c>
      <c r="H115" s="15">
        <v>60</v>
      </c>
      <c r="I115">
        <f t="shared" si="3"/>
        <v>60</v>
      </c>
    </row>
    <row r="116" spans="5:9" x14ac:dyDescent="0.25">
      <c r="E116" s="10">
        <v>113</v>
      </c>
      <c r="F116" s="11" t="s">
        <v>482</v>
      </c>
      <c r="G116" s="14">
        <v>3</v>
      </c>
      <c r="H116" s="14">
        <v>60</v>
      </c>
      <c r="I116">
        <f t="shared" si="3"/>
        <v>60</v>
      </c>
    </row>
    <row r="117" spans="5:9" x14ac:dyDescent="0.25">
      <c r="E117" s="12">
        <v>114</v>
      </c>
      <c r="F117" s="13" t="s">
        <v>483</v>
      </c>
      <c r="G117" s="15">
        <v>3</v>
      </c>
      <c r="H117" s="15">
        <v>60</v>
      </c>
      <c r="I117">
        <f t="shared" si="3"/>
        <v>60</v>
      </c>
    </row>
    <row r="118" spans="5:9" x14ac:dyDescent="0.25">
      <c r="E118" s="10">
        <v>115</v>
      </c>
      <c r="F118" s="11" t="s">
        <v>484</v>
      </c>
      <c r="G118" s="14">
        <v>3</v>
      </c>
      <c r="H118" s="14">
        <v>60</v>
      </c>
      <c r="I118">
        <f t="shared" si="3"/>
        <v>60</v>
      </c>
    </row>
    <row r="119" spans="5:9" x14ac:dyDescent="0.25">
      <c r="E119" s="12">
        <v>116</v>
      </c>
      <c r="F119" s="13" t="s">
        <v>485</v>
      </c>
      <c r="G119" s="15">
        <v>3</v>
      </c>
      <c r="H119" s="15">
        <v>60</v>
      </c>
      <c r="I119">
        <f t="shared" si="3"/>
        <v>60</v>
      </c>
    </row>
    <row r="120" spans="5:9" x14ac:dyDescent="0.25">
      <c r="E120" s="12">
        <v>118</v>
      </c>
      <c r="F120" s="13" t="s">
        <v>487</v>
      </c>
      <c r="G120" s="15">
        <v>3</v>
      </c>
      <c r="H120" s="15">
        <v>60</v>
      </c>
      <c r="I120">
        <f t="shared" si="3"/>
        <v>60</v>
      </c>
    </row>
  </sheetData>
  <sortState ref="E5:I120">
    <sortCondition descending="1" ref="I5"/>
  </sortState>
  <conditionalFormatting sqref="I5:I120">
    <cfRule type="dataBar" priority="2">
      <dataBar showValue="0"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{D54B772D-F38F-4429-9939-89B21A6C5BAE}</x14:id>
        </ext>
      </extLst>
    </cfRule>
  </conditionalFormatting>
  <conditionalFormatting sqref="F1:F1048576">
    <cfRule type="duplicateValues" dxfId="0" priority="1"/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4B772D-F38F-4429-9939-89B21A6C5B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I5:I120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24563-788B-4693-83C6-D471BA2499E3}">
  <sheetPr codeName="Sheet2"/>
  <dimension ref="D5:J194"/>
  <sheetViews>
    <sheetView topLeftCell="A22" workbookViewId="0">
      <selection activeCell="B5" sqref="B5"/>
    </sheetView>
  </sheetViews>
  <sheetFormatPr defaultRowHeight="15" x14ac:dyDescent="0.25"/>
  <cols>
    <col min="4" max="4" width="9.42578125" bestFit="1" customWidth="1"/>
    <col min="5" max="5" width="22.42578125" bestFit="1" customWidth="1"/>
    <col min="6" max="6" width="14.140625" bestFit="1" customWidth="1"/>
    <col min="7" max="7" width="12.28515625" bestFit="1" customWidth="1"/>
    <col min="8" max="8" width="12.7109375" bestFit="1" customWidth="1"/>
    <col min="9" max="9" width="24.42578125" bestFit="1" customWidth="1"/>
    <col min="10" max="10" width="19" bestFit="1" customWidth="1"/>
  </cols>
  <sheetData>
    <row r="5" spans="4:10" x14ac:dyDescent="0.25">
      <c r="D5" t="s">
        <v>0</v>
      </c>
      <c r="E5" t="s">
        <v>1</v>
      </c>
      <c r="F5" t="s">
        <v>2</v>
      </c>
      <c r="G5" t="s">
        <v>3</v>
      </c>
      <c r="H5" t="s">
        <v>4</v>
      </c>
      <c r="I5" t="s">
        <v>5</v>
      </c>
      <c r="J5" t="s">
        <v>6</v>
      </c>
    </row>
    <row r="6" spans="4:10" x14ac:dyDescent="0.25">
      <c r="D6">
        <v>373</v>
      </c>
      <c r="E6" s="1" t="s">
        <v>7</v>
      </c>
      <c r="F6">
        <v>11</v>
      </c>
      <c r="G6">
        <v>1170</v>
      </c>
      <c r="H6">
        <v>2460000</v>
      </c>
      <c r="I6" s="1" t="s">
        <v>8</v>
      </c>
      <c r="J6">
        <v>10</v>
      </c>
    </row>
    <row r="7" spans="4:10" x14ac:dyDescent="0.25">
      <c r="D7">
        <v>374</v>
      </c>
      <c r="E7" s="1" t="s">
        <v>9</v>
      </c>
      <c r="F7">
        <v>23</v>
      </c>
      <c r="G7">
        <v>2000</v>
      </c>
      <c r="H7">
        <v>2670000</v>
      </c>
      <c r="I7" s="1" t="s">
        <v>10</v>
      </c>
      <c r="J7">
        <v>9.2267398834228498</v>
      </c>
    </row>
    <row r="8" spans="4:10" x14ac:dyDescent="0.25">
      <c r="D8">
        <v>375</v>
      </c>
      <c r="E8" s="1" t="s">
        <v>11</v>
      </c>
      <c r="F8">
        <v>36</v>
      </c>
      <c r="G8">
        <v>2340</v>
      </c>
      <c r="H8">
        <v>3490000</v>
      </c>
      <c r="I8" s="1" t="s">
        <v>12</v>
      </c>
      <c r="J8">
        <v>9.2082099914550799</v>
      </c>
    </row>
    <row r="9" spans="4:10" x14ac:dyDescent="0.25">
      <c r="D9">
        <v>376</v>
      </c>
      <c r="E9" s="1" t="s">
        <v>13</v>
      </c>
      <c r="F9">
        <v>17</v>
      </c>
      <c r="G9">
        <v>1640</v>
      </c>
      <c r="H9">
        <v>2120000</v>
      </c>
      <c r="I9" s="1" t="s">
        <v>14</v>
      </c>
      <c r="J9">
        <v>8.9485197067260707</v>
      </c>
    </row>
    <row r="10" spans="4:10" x14ac:dyDescent="0.25">
      <c r="D10">
        <v>377</v>
      </c>
      <c r="E10" s="1" t="s">
        <v>15</v>
      </c>
      <c r="F10">
        <v>16</v>
      </c>
      <c r="G10">
        <v>1080</v>
      </c>
      <c r="H10">
        <v>3000000</v>
      </c>
      <c r="I10" s="1" t="s">
        <v>16</v>
      </c>
      <c r="J10">
        <v>8.6271600723266602</v>
      </c>
    </row>
    <row r="11" spans="4:10" x14ac:dyDescent="0.25">
      <c r="D11">
        <v>378</v>
      </c>
      <c r="E11" s="1" t="s">
        <v>17</v>
      </c>
      <c r="F11">
        <v>16</v>
      </c>
      <c r="G11">
        <v>1120</v>
      </c>
      <c r="H11">
        <v>2650000</v>
      </c>
      <c r="I11" s="1" t="s">
        <v>18</v>
      </c>
      <c r="J11">
        <v>8.2519397735595703</v>
      </c>
    </row>
    <row r="12" spans="4:10" x14ac:dyDescent="0.25">
      <c r="D12">
        <v>379</v>
      </c>
      <c r="E12" s="1" t="s">
        <v>19</v>
      </c>
      <c r="F12">
        <v>36</v>
      </c>
      <c r="G12">
        <v>1990</v>
      </c>
      <c r="H12">
        <v>3130000</v>
      </c>
      <c r="I12" s="1" t="s">
        <v>20</v>
      </c>
      <c r="J12">
        <v>8.1368598937988299</v>
      </c>
    </row>
    <row r="13" spans="4:10" x14ac:dyDescent="0.25">
      <c r="D13">
        <v>380</v>
      </c>
      <c r="E13" s="1" t="s">
        <v>21</v>
      </c>
      <c r="F13">
        <v>37</v>
      </c>
      <c r="G13">
        <v>2200</v>
      </c>
      <c r="H13">
        <v>2940000</v>
      </c>
      <c r="I13" s="1" t="s">
        <v>22</v>
      </c>
      <c r="J13">
        <v>8.0906496047973597</v>
      </c>
    </row>
    <row r="14" spans="4:10" x14ac:dyDescent="0.25">
      <c r="D14">
        <v>381</v>
      </c>
      <c r="E14" s="1" t="s">
        <v>23</v>
      </c>
      <c r="F14">
        <v>11</v>
      </c>
      <c r="G14">
        <v>890</v>
      </c>
      <c r="H14">
        <v>1860000</v>
      </c>
      <c r="I14" s="1" t="s">
        <v>24</v>
      </c>
      <c r="J14">
        <v>7.6986398696899396</v>
      </c>
    </row>
    <row r="15" spans="4:10" x14ac:dyDescent="0.25">
      <c r="D15">
        <v>382</v>
      </c>
      <c r="E15" s="1" t="s">
        <v>25</v>
      </c>
      <c r="F15">
        <v>6</v>
      </c>
      <c r="G15">
        <v>450</v>
      </c>
      <c r="H15">
        <v>1780000</v>
      </c>
      <c r="I15" s="1" t="s">
        <v>26</v>
      </c>
      <c r="J15">
        <v>7.2515602111816397</v>
      </c>
    </row>
    <row r="16" spans="4:10" x14ac:dyDescent="0.25">
      <c r="D16">
        <v>383</v>
      </c>
      <c r="E16" s="1" t="s">
        <v>27</v>
      </c>
      <c r="F16">
        <v>27</v>
      </c>
      <c r="G16">
        <v>1370</v>
      </c>
      <c r="H16">
        <v>2610000</v>
      </c>
      <c r="I16" s="1" t="s">
        <v>28</v>
      </c>
      <c r="J16">
        <v>7.1193499565124503</v>
      </c>
    </row>
    <row r="17" spans="4:10" x14ac:dyDescent="0.25">
      <c r="D17">
        <v>384</v>
      </c>
      <c r="E17" s="1" t="s">
        <v>29</v>
      </c>
      <c r="F17">
        <v>48</v>
      </c>
      <c r="G17">
        <v>2140</v>
      </c>
      <c r="H17">
        <v>2770000</v>
      </c>
      <c r="I17" s="1" t="s">
        <v>30</v>
      </c>
      <c r="J17">
        <v>7.0113000869751003</v>
      </c>
    </row>
    <row r="18" spans="4:10" x14ac:dyDescent="0.25">
      <c r="D18">
        <v>385</v>
      </c>
      <c r="E18" s="1" t="s">
        <v>31</v>
      </c>
      <c r="F18">
        <v>8</v>
      </c>
      <c r="G18">
        <v>730</v>
      </c>
      <c r="H18">
        <v>960000</v>
      </c>
      <c r="I18" s="1" t="s">
        <v>32</v>
      </c>
      <c r="J18">
        <v>6.9519200325012198</v>
      </c>
    </row>
    <row r="19" spans="4:10" x14ac:dyDescent="0.25">
      <c r="D19">
        <v>386</v>
      </c>
      <c r="E19" s="1" t="s">
        <v>33</v>
      </c>
      <c r="F19">
        <v>4</v>
      </c>
      <c r="G19">
        <v>340</v>
      </c>
      <c r="H19">
        <v>1190000</v>
      </c>
      <c r="I19" s="1" t="s">
        <v>34</v>
      </c>
      <c r="J19">
        <v>6.9416198730468803</v>
      </c>
    </row>
    <row r="20" spans="4:10" x14ac:dyDescent="0.25">
      <c r="D20">
        <v>387</v>
      </c>
      <c r="E20" s="1" t="s">
        <v>35</v>
      </c>
      <c r="F20">
        <v>49</v>
      </c>
      <c r="G20">
        <v>2320</v>
      </c>
      <c r="H20">
        <v>2570000</v>
      </c>
      <c r="I20" s="1" t="s">
        <v>36</v>
      </c>
      <c r="J20">
        <v>6.8713197708129901</v>
      </c>
    </row>
    <row r="21" spans="4:10" x14ac:dyDescent="0.25">
      <c r="D21">
        <v>388</v>
      </c>
      <c r="E21" s="1" t="s">
        <v>37</v>
      </c>
      <c r="F21">
        <v>5</v>
      </c>
      <c r="G21">
        <v>560</v>
      </c>
      <c r="H21">
        <v>35900</v>
      </c>
      <c r="I21" s="1" t="s">
        <v>38</v>
      </c>
      <c r="J21">
        <v>6.7501201629638699</v>
      </c>
    </row>
    <row r="22" spans="4:10" x14ac:dyDescent="0.25">
      <c r="D22">
        <v>389</v>
      </c>
      <c r="E22" s="1" t="s">
        <v>39</v>
      </c>
      <c r="F22">
        <v>6</v>
      </c>
      <c r="G22">
        <v>370</v>
      </c>
      <c r="H22">
        <v>1860000</v>
      </c>
      <c r="I22" s="1" t="s">
        <v>24</v>
      </c>
      <c r="J22">
        <v>6.6257901191711399</v>
      </c>
    </row>
    <row r="23" spans="4:10" x14ac:dyDescent="0.25">
      <c r="D23">
        <v>390</v>
      </c>
      <c r="E23" s="1" t="s">
        <v>40</v>
      </c>
      <c r="F23">
        <v>5</v>
      </c>
      <c r="G23">
        <v>320</v>
      </c>
      <c r="H23">
        <v>1690000</v>
      </c>
      <c r="I23" s="1" t="s">
        <v>41</v>
      </c>
      <c r="J23">
        <v>6.5059399604797399</v>
      </c>
    </row>
    <row r="24" spans="4:10" x14ac:dyDescent="0.25">
      <c r="D24">
        <v>391</v>
      </c>
      <c r="E24" s="1" t="s">
        <v>42</v>
      </c>
      <c r="F24">
        <v>54</v>
      </c>
      <c r="G24">
        <v>2950</v>
      </c>
      <c r="H24">
        <v>1960000</v>
      </c>
      <c r="I24" s="1" t="s">
        <v>43</v>
      </c>
      <c r="J24">
        <v>6.3804798126220703</v>
      </c>
    </row>
    <row r="25" spans="4:10" x14ac:dyDescent="0.25">
      <c r="D25">
        <v>392</v>
      </c>
      <c r="E25" s="1" t="s">
        <v>44</v>
      </c>
      <c r="F25">
        <v>7</v>
      </c>
      <c r="G25">
        <v>500</v>
      </c>
      <c r="H25">
        <v>1320000</v>
      </c>
      <c r="I25" s="1" t="s">
        <v>45</v>
      </c>
      <c r="J25">
        <v>6.3761000633239702</v>
      </c>
    </row>
    <row r="26" spans="4:10" x14ac:dyDescent="0.25">
      <c r="D26">
        <v>393</v>
      </c>
      <c r="E26" s="1" t="s">
        <v>46</v>
      </c>
      <c r="F26">
        <v>16</v>
      </c>
      <c r="G26">
        <v>1040</v>
      </c>
      <c r="H26">
        <v>1340000</v>
      </c>
      <c r="I26" s="1" t="s">
        <v>47</v>
      </c>
      <c r="J26">
        <v>6.0470900535583496</v>
      </c>
    </row>
    <row r="27" spans="4:10" x14ac:dyDescent="0.25">
      <c r="D27">
        <v>394</v>
      </c>
      <c r="E27" s="1" t="s">
        <v>48</v>
      </c>
      <c r="F27">
        <v>16</v>
      </c>
      <c r="G27">
        <v>780</v>
      </c>
      <c r="H27">
        <v>1930000</v>
      </c>
      <c r="I27" s="1" t="s">
        <v>49</v>
      </c>
      <c r="J27">
        <v>6.0085601806640598</v>
      </c>
    </row>
    <row r="28" spans="4:10" x14ac:dyDescent="0.25">
      <c r="D28">
        <v>395</v>
      </c>
      <c r="E28" s="1" t="s">
        <v>50</v>
      </c>
      <c r="F28">
        <v>5</v>
      </c>
      <c r="G28">
        <v>350</v>
      </c>
      <c r="H28">
        <v>1120000</v>
      </c>
      <c r="I28" s="1" t="s">
        <v>51</v>
      </c>
      <c r="J28">
        <v>6.0023999214172399</v>
      </c>
    </row>
    <row r="29" spans="4:10" x14ac:dyDescent="0.25">
      <c r="D29">
        <v>396</v>
      </c>
      <c r="E29" s="1" t="s">
        <v>52</v>
      </c>
      <c r="F29">
        <v>8</v>
      </c>
      <c r="G29">
        <v>310</v>
      </c>
      <c r="H29">
        <v>2270000</v>
      </c>
      <c r="I29" s="1" t="s">
        <v>53</v>
      </c>
      <c r="J29">
        <v>5.9509201049804696</v>
      </c>
    </row>
    <row r="30" spans="4:10" x14ac:dyDescent="0.25">
      <c r="D30">
        <v>397</v>
      </c>
      <c r="E30" s="1" t="s">
        <v>54</v>
      </c>
      <c r="F30">
        <v>23</v>
      </c>
      <c r="G30">
        <v>1100</v>
      </c>
      <c r="H30">
        <v>1800000</v>
      </c>
      <c r="I30" s="1" t="s">
        <v>55</v>
      </c>
      <c r="J30">
        <v>5.7659101486206099</v>
      </c>
    </row>
    <row r="31" spans="4:10" x14ac:dyDescent="0.25">
      <c r="D31">
        <v>398</v>
      </c>
      <c r="E31" s="1" t="s">
        <v>56</v>
      </c>
      <c r="F31">
        <v>26</v>
      </c>
      <c r="G31">
        <v>1250</v>
      </c>
      <c r="H31">
        <v>1760000</v>
      </c>
      <c r="I31" s="1" t="s">
        <v>57</v>
      </c>
      <c r="J31">
        <v>5.7210798263549796</v>
      </c>
    </row>
    <row r="32" spans="4:10" x14ac:dyDescent="0.25">
      <c r="D32">
        <v>399</v>
      </c>
      <c r="E32" s="1" t="s">
        <v>58</v>
      </c>
      <c r="F32">
        <v>19</v>
      </c>
      <c r="G32">
        <v>790</v>
      </c>
      <c r="H32">
        <v>1930000</v>
      </c>
      <c r="I32" s="1" t="s">
        <v>49</v>
      </c>
      <c r="J32">
        <v>5.6087498664856001</v>
      </c>
    </row>
    <row r="33" spans="4:10" x14ac:dyDescent="0.25">
      <c r="D33">
        <v>400</v>
      </c>
      <c r="E33" s="1" t="s">
        <v>59</v>
      </c>
      <c r="F33">
        <v>7</v>
      </c>
      <c r="G33">
        <v>390</v>
      </c>
      <c r="H33">
        <v>1350000</v>
      </c>
      <c r="I33" s="1" t="s">
        <v>60</v>
      </c>
      <c r="J33">
        <v>5.5440797805786097</v>
      </c>
    </row>
    <row r="34" spans="4:10" x14ac:dyDescent="0.25">
      <c r="D34">
        <v>401</v>
      </c>
      <c r="E34" s="1" t="s">
        <v>61</v>
      </c>
      <c r="F34">
        <v>9</v>
      </c>
      <c r="G34">
        <v>490</v>
      </c>
      <c r="H34">
        <v>1360000</v>
      </c>
      <c r="I34" s="1" t="s">
        <v>62</v>
      </c>
      <c r="J34">
        <v>5.4879798889160201</v>
      </c>
    </row>
    <row r="35" spans="4:10" x14ac:dyDescent="0.25">
      <c r="D35">
        <v>402</v>
      </c>
      <c r="E35" s="1" t="s">
        <v>63</v>
      </c>
      <c r="F35">
        <v>8</v>
      </c>
      <c r="G35">
        <v>280</v>
      </c>
      <c r="H35">
        <v>2080000</v>
      </c>
      <c r="I35" s="1" t="s">
        <v>64</v>
      </c>
      <c r="J35">
        <v>5.4624900817871103</v>
      </c>
    </row>
    <row r="36" spans="4:10" x14ac:dyDescent="0.25">
      <c r="D36">
        <v>404</v>
      </c>
      <c r="E36" s="1" t="s">
        <v>65</v>
      </c>
      <c r="F36">
        <v>34</v>
      </c>
      <c r="G36">
        <v>1770</v>
      </c>
      <c r="H36">
        <v>1260000</v>
      </c>
      <c r="I36" s="1" t="s">
        <v>66</v>
      </c>
      <c r="J36">
        <v>5.2079401016235396</v>
      </c>
    </row>
    <row r="37" spans="4:10" x14ac:dyDescent="0.25">
      <c r="D37">
        <v>405</v>
      </c>
      <c r="E37" s="1" t="s">
        <v>67</v>
      </c>
      <c r="F37">
        <v>12</v>
      </c>
      <c r="G37">
        <v>680</v>
      </c>
      <c r="H37">
        <v>1020000</v>
      </c>
      <c r="I37" s="1" t="s">
        <v>68</v>
      </c>
      <c r="J37">
        <v>5.1119799613952601</v>
      </c>
    </row>
    <row r="38" spans="4:10" x14ac:dyDescent="0.25">
      <c r="D38">
        <v>406</v>
      </c>
      <c r="E38" s="1" t="s">
        <v>69</v>
      </c>
      <c r="F38">
        <v>9</v>
      </c>
      <c r="G38">
        <v>400</v>
      </c>
      <c r="H38">
        <v>1480000</v>
      </c>
      <c r="I38" s="1" t="s">
        <v>70</v>
      </c>
      <c r="J38">
        <v>5.1068801879882804</v>
      </c>
    </row>
    <row r="39" spans="4:10" x14ac:dyDescent="0.25">
      <c r="D39">
        <v>407</v>
      </c>
      <c r="E39" s="1" t="s">
        <v>71</v>
      </c>
      <c r="F39">
        <v>16</v>
      </c>
      <c r="G39">
        <v>700</v>
      </c>
      <c r="H39">
        <v>1480000</v>
      </c>
      <c r="I39" s="1" t="s">
        <v>70</v>
      </c>
      <c r="J39">
        <v>5.0681600570678702</v>
      </c>
    </row>
    <row r="40" spans="4:10" x14ac:dyDescent="0.25">
      <c r="D40">
        <v>408</v>
      </c>
      <c r="E40" s="1" t="s">
        <v>72</v>
      </c>
      <c r="F40">
        <v>12</v>
      </c>
      <c r="G40">
        <v>630</v>
      </c>
      <c r="H40">
        <v>1140000</v>
      </c>
      <c r="I40" s="1" t="s">
        <v>73</v>
      </c>
      <c r="J40">
        <v>5.0561099052429199</v>
      </c>
    </row>
    <row r="41" spans="4:10" x14ac:dyDescent="0.25">
      <c r="D41">
        <v>409</v>
      </c>
      <c r="E41" s="1" t="s">
        <v>74</v>
      </c>
      <c r="F41">
        <v>43</v>
      </c>
      <c r="G41">
        <v>1740</v>
      </c>
      <c r="H41">
        <v>1560000</v>
      </c>
      <c r="I41" s="1" t="s">
        <v>75</v>
      </c>
      <c r="J41">
        <v>5.0026397705078098</v>
      </c>
    </row>
    <row r="42" spans="4:10" x14ac:dyDescent="0.25">
      <c r="D42">
        <v>410</v>
      </c>
      <c r="E42" s="1" t="s">
        <v>76</v>
      </c>
      <c r="F42">
        <v>5</v>
      </c>
      <c r="G42">
        <v>310</v>
      </c>
      <c r="H42">
        <v>737000</v>
      </c>
      <c r="I42" s="1" t="s">
        <v>77</v>
      </c>
      <c r="J42">
        <v>4.9932398796081499</v>
      </c>
    </row>
    <row r="43" spans="4:10" x14ac:dyDescent="0.25">
      <c r="D43">
        <v>411</v>
      </c>
      <c r="E43" s="1" t="s">
        <v>78</v>
      </c>
      <c r="F43">
        <v>7</v>
      </c>
      <c r="G43">
        <v>310</v>
      </c>
      <c r="H43">
        <v>1300000</v>
      </c>
      <c r="I43" s="1" t="s">
        <v>79</v>
      </c>
      <c r="J43">
        <v>4.8333802223205602</v>
      </c>
    </row>
    <row r="44" spans="4:10" x14ac:dyDescent="0.25">
      <c r="D44">
        <v>412</v>
      </c>
      <c r="E44" s="1" t="s">
        <v>80</v>
      </c>
      <c r="F44">
        <v>16</v>
      </c>
      <c r="G44">
        <v>880</v>
      </c>
      <c r="H44">
        <v>877000</v>
      </c>
      <c r="I44" s="1" t="s">
        <v>81</v>
      </c>
      <c r="J44">
        <v>4.8088102340698198</v>
      </c>
    </row>
    <row r="45" spans="4:10" x14ac:dyDescent="0.25">
      <c r="D45">
        <v>413</v>
      </c>
      <c r="E45" s="1" t="s">
        <v>82</v>
      </c>
      <c r="F45">
        <v>17</v>
      </c>
      <c r="G45">
        <v>680</v>
      </c>
      <c r="H45">
        <v>1430000</v>
      </c>
      <c r="I45" s="1" t="s">
        <v>83</v>
      </c>
      <c r="J45">
        <v>4.7855701446533203</v>
      </c>
    </row>
    <row r="46" spans="4:10" x14ac:dyDescent="0.25">
      <c r="D46">
        <v>414</v>
      </c>
      <c r="E46" s="1" t="s">
        <v>84</v>
      </c>
      <c r="F46">
        <v>26</v>
      </c>
      <c r="G46">
        <v>1400</v>
      </c>
      <c r="H46">
        <v>861000</v>
      </c>
      <c r="I46" s="1" t="s">
        <v>85</v>
      </c>
      <c r="J46">
        <v>4.7209501266479501</v>
      </c>
    </row>
    <row r="47" spans="4:10" x14ac:dyDescent="0.25">
      <c r="D47">
        <v>415</v>
      </c>
      <c r="E47" s="1" t="s">
        <v>86</v>
      </c>
      <c r="F47">
        <v>34</v>
      </c>
      <c r="G47">
        <v>1570</v>
      </c>
      <c r="H47">
        <v>1050000</v>
      </c>
      <c r="I47" s="1" t="s">
        <v>87</v>
      </c>
      <c r="J47">
        <v>4.5712199211120597</v>
      </c>
    </row>
    <row r="48" spans="4:10" x14ac:dyDescent="0.25">
      <c r="D48">
        <v>416</v>
      </c>
      <c r="E48" s="1" t="s">
        <v>88</v>
      </c>
      <c r="F48">
        <v>7</v>
      </c>
      <c r="G48">
        <v>450</v>
      </c>
      <c r="H48">
        <v>311000</v>
      </c>
      <c r="I48" s="1" t="s">
        <v>89</v>
      </c>
      <c r="J48">
        <v>4.4943399429321298</v>
      </c>
    </row>
    <row r="49" spans="4:10" x14ac:dyDescent="0.25">
      <c r="D49">
        <v>418</v>
      </c>
      <c r="E49" s="1" t="s">
        <v>90</v>
      </c>
      <c r="F49">
        <v>20</v>
      </c>
      <c r="G49">
        <v>1270</v>
      </c>
      <c r="H49">
        <v>312000</v>
      </c>
      <c r="I49" s="1" t="s">
        <v>91</v>
      </c>
      <c r="J49">
        <v>4.4520001411437997</v>
      </c>
    </row>
    <row r="50" spans="4:10" x14ac:dyDescent="0.25">
      <c r="D50">
        <v>419</v>
      </c>
      <c r="E50" s="1" t="s">
        <v>92</v>
      </c>
      <c r="F50">
        <v>19</v>
      </c>
      <c r="G50">
        <v>880</v>
      </c>
      <c r="H50">
        <v>934000</v>
      </c>
      <c r="I50" s="1" t="s">
        <v>93</v>
      </c>
      <c r="J50">
        <v>4.4084300994873002</v>
      </c>
    </row>
    <row r="51" spans="4:10" x14ac:dyDescent="0.25">
      <c r="D51">
        <v>420</v>
      </c>
      <c r="E51" s="1" t="s">
        <v>94</v>
      </c>
      <c r="F51">
        <v>18</v>
      </c>
      <c r="G51">
        <v>850</v>
      </c>
      <c r="H51">
        <v>867000</v>
      </c>
      <c r="I51" s="1" t="s">
        <v>95</v>
      </c>
      <c r="J51">
        <v>4.3604598045349103</v>
      </c>
    </row>
    <row r="52" spans="4:10" x14ac:dyDescent="0.25">
      <c r="D52">
        <v>421</v>
      </c>
      <c r="E52" s="1" t="s">
        <v>96</v>
      </c>
      <c r="F52">
        <v>15</v>
      </c>
      <c r="G52">
        <v>400</v>
      </c>
      <c r="H52">
        <v>1640000</v>
      </c>
      <c r="I52" s="1" t="s">
        <v>97</v>
      </c>
      <c r="J52">
        <v>4.3509402275085396</v>
      </c>
    </row>
    <row r="53" spans="4:10" x14ac:dyDescent="0.25">
      <c r="D53">
        <v>422</v>
      </c>
      <c r="E53" s="1" t="s">
        <v>98</v>
      </c>
      <c r="F53">
        <v>11</v>
      </c>
      <c r="G53">
        <v>730</v>
      </c>
      <c r="H53">
        <v>125000</v>
      </c>
      <c r="I53" s="1" t="s">
        <v>99</v>
      </c>
      <c r="J53">
        <v>4.33670997619629</v>
      </c>
    </row>
    <row r="54" spans="4:10" x14ac:dyDescent="0.25">
      <c r="D54">
        <v>423</v>
      </c>
      <c r="E54" s="1" t="s">
        <v>100</v>
      </c>
      <c r="F54">
        <v>12</v>
      </c>
      <c r="G54">
        <v>650</v>
      </c>
      <c r="H54">
        <v>510000</v>
      </c>
      <c r="I54" s="1" t="s">
        <v>101</v>
      </c>
      <c r="J54">
        <v>4.2227501869201696</v>
      </c>
    </row>
    <row r="55" spans="4:10" x14ac:dyDescent="0.25">
      <c r="D55">
        <v>424</v>
      </c>
      <c r="E55" s="1" t="s">
        <v>102</v>
      </c>
      <c r="F55">
        <v>17</v>
      </c>
      <c r="G55">
        <v>810</v>
      </c>
      <c r="H55">
        <v>737000</v>
      </c>
      <c r="I55" s="1" t="s">
        <v>77</v>
      </c>
      <c r="J55">
        <v>4.1930098533630398</v>
      </c>
    </row>
    <row r="56" spans="4:10" x14ac:dyDescent="0.25">
      <c r="D56">
        <v>425</v>
      </c>
      <c r="E56" s="1" t="s">
        <v>103</v>
      </c>
      <c r="F56">
        <v>32</v>
      </c>
      <c r="G56">
        <v>1100</v>
      </c>
      <c r="H56">
        <v>1230000</v>
      </c>
      <c r="I56" s="1" t="s">
        <v>104</v>
      </c>
      <c r="J56">
        <v>4.1778898239135698</v>
      </c>
    </row>
    <row r="57" spans="4:10" x14ac:dyDescent="0.25">
      <c r="D57">
        <v>426</v>
      </c>
      <c r="E57" s="1" t="s">
        <v>105</v>
      </c>
      <c r="F57">
        <v>10</v>
      </c>
      <c r="G57">
        <v>650</v>
      </c>
      <c r="H57">
        <v>25100</v>
      </c>
      <c r="I57" s="1" t="s">
        <v>106</v>
      </c>
      <c r="J57">
        <v>4.1138000488281197</v>
      </c>
    </row>
    <row r="58" spans="4:10" x14ac:dyDescent="0.25">
      <c r="D58">
        <v>427</v>
      </c>
      <c r="E58" s="1" t="s">
        <v>107</v>
      </c>
      <c r="F58">
        <v>12</v>
      </c>
      <c r="G58">
        <v>570</v>
      </c>
      <c r="H58">
        <v>669000</v>
      </c>
      <c r="I58" s="1" t="s">
        <v>108</v>
      </c>
      <c r="J58">
        <v>4.0848298072814897</v>
      </c>
    </row>
    <row r="59" spans="4:10" x14ac:dyDescent="0.25">
      <c r="D59">
        <v>428</v>
      </c>
      <c r="E59" s="1" t="s">
        <v>109</v>
      </c>
      <c r="F59">
        <v>6</v>
      </c>
      <c r="G59">
        <v>260</v>
      </c>
      <c r="H59">
        <v>824000</v>
      </c>
      <c r="I59" s="1" t="s">
        <v>110</v>
      </c>
      <c r="J59">
        <v>4.0804200172424299</v>
      </c>
    </row>
    <row r="60" spans="4:10" x14ac:dyDescent="0.25">
      <c r="D60">
        <v>429</v>
      </c>
      <c r="E60" s="1" t="s">
        <v>111</v>
      </c>
      <c r="F60">
        <v>14</v>
      </c>
      <c r="G60">
        <v>840</v>
      </c>
      <c r="H60">
        <v>173000</v>
      </c>
      <c r="I60" s="1" t="s">
        <v>112</v>
      </c>
      <c r="J60">
        <v>4.052490234375</v>
      </c>
    </row>
    <row r="61" spans="4:10" x14ac:dyDescent="0.25">
      <c r="D61">
        <v>430</v>
      </c>
      <c r="E61" s="1" t="s">
        <v>113</v>
      </c>
      <c r="F61">
        <v>9</v>
      </c>
      <c r="G61">
        <v>520</v>
      </c>
      <c r="H61">
        <v>243000</v>
      </c>
      <c r="I61" s="1" t="s">
        <v>114</v>
      </c>
      <c r="J61">
        <v>4.0315098762512198</v>
      </c>
    </row>
    <row r="62" spans="4:10" x14ac:dyDescent="0.25">
      <c r="D62">
        <v>431</v>
      </c>
      <c r="E62" s="1" t="s">
        <v>115</v>
      </c>
      <c r="F62">
        <v>6</v>
      </c>
      <c r="G62">
        <v>320</v>
      </c>
      <c r="H62">
        <v>380000</v>
      </c>
      <c r="I62" s="1" t="s">
        <v>116</v>
      </c>
      <c r="J62">
        <v>3.9851500988006601</v>
      </c>
    </row>
    <row r="63" spans="4:10" x14ac:dyDescent="0.25">
      <c r="D63">
        <v>432</v>
      </c>
      <c r="E63" s="1" t="s">
        <v>117</v>
      </c>
      <c r="F63">
        <v>27</v>
      </c>
      <c r="G63">
        <v>1410</v>
      </c>
      <c r="H63">
        <v>386000</v>
      </c>
      <c r="I63" s="1" t="s">
        <v>118</v>
      </c>
      <c r="J63">
        <v>3.9320199489593501</v>
      </c>
    </row>
    <row r="64" spans="4:10" x14ac:dyDescent="0.25">
      <c r="D64">
        <v>434</v>
      </c>
      <c r="E64" s="1" t="s">
        <v>119</v>
      </c>
      <c r="F64">
        <v>19</v>
      </c>
      <c r="G64">
        <v>1070</v>
      </c>
      <c r="H64">
        <v>165000</v>
      </c>
      <c r="I64" s="1" t="s">
        <v>120</v>
      </c>
      <c r="J64">
        <v>3.8353199958801301</v>
      </c>
    </row>
    <row r="65" spans="4:10" x14ac:dyDescent="0.25">
      <c r="D65">
        <v>435</v>
      </c>
      <c r="E65" s="1" t="s">
        <v>121</v>
      </c>
      <c r="F65">
        <v>24</v>
      </c>
      <c r="G65">
        <v>1140</v>
      </c>
      <c r="H65">
        <v>476000</v>
      </c>
      <c r="I65" s="1" t="s">
        <v>122</v>
      </c>
      <c r="J65">
        <v>3.8010599613189702</v>
      </c>
    </row>
    <row r="66" spans="4:10" x14ac:dyDescent="0.25">
      <c r="D66">
        <v>436</v>
      </c>
      <c r="E66" s="1" t="s">
        <v>123</v>
      </c>
      <c r="F66">
        <v>30</v>
      </c>
      <c r="G66">
        <v>1660</v>
      </c>
      <c r="H66">
        <v>176000</v>
      </c>
      <c r="I66" s="1" t="s">
        <v>124</v>
      </c>
      <c r="J66">
        <v>3.79672002792358</v>
      </c>
    </row>
    <row r="67" spans="4:10" x14ac:dyDescent="0.25">
      <c r="D67">
        <v>439</v>
      </c>
      <c r="E67" s="1" t="s">
        <v>125</v>
      </c>
      <c r="F67">
        <v>19</v>
      </c>
      <c r="G67">
        <v>1010</v>
      </c>
      <c r="H67">
        <v>240000</v>
      </c>
      <c r="I67" s="1" t="s">
        <v>126</v>
      </c>
      <c r="J67">
        <v>3.7695300579071001</v>
      </c>
    </row>
    <row r="68" spans="4:10" x14ac:dyDescent="0.25">
      <c r="D68">
        <v>440</v>
      </c>
      <c r="E68" s="1" t="s">
        <v>127</v>
      </c>
      <c r="F68">
        <v>14</v>
      </c>
      <c r="G68">
        <v>700</v>
      </c>
      <c r="H68">
        <v>339000</v>
      </c>
      <c r="I68" s="1" t="s">
        <v>128</v>
      </c>
      <c r="J68">
        <v>3.7390201091766402</v>
      </c>
    </row>
    <row r="69" spans="4:10" x14ac:dyDescent="0.25">
      <c r="D69">
        <v>441</v>
      </c>
      <c r="E69" s="1" t="s">
        <v>129</v>
      </c>
      <c r="F69">
        <v>6</v>
      </c>
      <c r="G69">
        <v>340</v>
      </c>
      <c r="H69">
        <v>70400</v>
      </c>
      <c r="I69" s="1" t="s">
        <v>130</v>
      </c>
      <c r="J69">
        <v>3.7157900333404501</v>
      </c>
    </row>
    <row r="70" spans="4:10" x14ac:dyDescent="0.25">
      <c r="D70">
        <v>442</v>
      </c>
      <c r="E70" s="1" t="s">
        <v>131</v>
      </c>
      <c r="F70">
        <v>6</v>
      </c>
      <c r="G70">
        <v>150</v>
      </c>
      <c r="H70">
        <v>1260000</v>
      </c>
      <c r="I70" s="1" t="s">
        <v>66</v>
      </c>
      <c r="J70">
        <v>3.6993100643157999</v>
      </c>
    </row>
    <row r="71" spans="4:10" x14ac:dyDescent="0.25">
      <c r="D71">
        <v>443</v>
      </c>
      <c r="E71" s="1" t="s">
        <v>132</v>
      </c>
      <c r="F71">
        <v>15</v>
      </c>
      <c r="G71">
        <v>820</v>
      </c>
      <c r="H71">
        <v>129000</v>
      </c>
      <c r="I71" s="1" t="s">
        <v>133</v>
      </c>
      <c r="J71">
        <v>3.6904399394989</v>
      </c>
    </row>
    <row r="72" spans="4:10" x14ac:dyDescent="0.25">
      <c r="D72">
        <v>444</v>
      </c>
      <c r="E72" s="1" t="s">
        <v>134</v>
      </c>
      <c r="F72">
        <v>19</v>
      </c>
      <c r="G72">
        <v>880</v>
      </c>
      <c r="H72">
        <v>416000</v>
      </c>
      <c r="I72" s="1" t="s">
        <v>135</v>
      </c>
      <c r="J72">
        <v>3.6468200683593799</v>
      </c>
    </row>
    <row r="73" spans="4:10" x14ac:dyDescent="0.25">
      <c r="D73">
        <v>445</v>
      </c>
      <c r="E73" s="1" t="s">
        <v>136</v>
      </c>
      <c r="F73">
        <v>11</v>
      </c>
      <c r="G73">
        <v>510</v>
      </c>
      <c r="H73">
        <v>385000</v>
      </c>
      <c r="I73" s="1" t="s">
        <v>137</v>
      </c>
      <c r="J73">
        <v>3.60390996932983</v>
      </c>
    </row>
    <row r="74" spans="4:10" x14ac:dyDescent="0.25">
      <c r="D74">
        <v>446</v>
      </c>
      <c r="E74" s="1" t="s">
        <v>138</v>
      </c>
      <c r="F74">
        <v>22</v>
      </c>
      <c r="G74">
        <v>1100</v>
      </c>
      <c r="H74">
        <v>217000</v>
      </c>
      <c r="I74" s="1" t="s">
        <v>139</v>
      </c>
      <c r="J74">
        <v>3.5596399307250999</v>
      </c>
    </row>
    <row r="75" spans="4:10" x14ac:dyDescent="0.25">
      <c r="D75">
        <v>447</v>
      </c>
      <c r="E75" s="1" t="s">
        <v>140</v>
      </c>
      <c r="F75">
        <v>12</v>
      </c>
      <c r="G75">
        <v>590</v>
      </c>
      <c r="H75">
        <v>239000</v>
      </c>
      <c r="I75" s="1" t="s">
        <v>141</v>
      </c>
      <c r="J75">
        <v>3.5455300807952899</v>
      </c>
    </row>
    <row r="76" spans="4:10" x14ac:dyDescent="0.25">
      <c r="D76">
        <v>448</v>
      </c>
      <c r="E76" s="1" t="s">
        <v>142</v>
      </c>
      <c r="F76">
        <v>9</v>
      </c>
      <c r="G76">
        <v>270</v>
      </c>
      <c r="H76">
        <v>960000</v>
      </c>
      <c r="I76" s="1" t="s">
        <v>32</v>
      </c>
      <c r="J76">
        <v>3.5369899272918701</v>
      </c>
    </row>
    <row r="77" spans="4:10" x14ac:dyDescent="0.25">
      <c r="D77">
        <v>449</v>
      </c>
      <c r="E77" s="1" t="s">
        <v>143</v>
      </c>
      <c r="F77">
        <v>18</v>
      </c>
      <c r="G77">
        <v>740</v>
      </c>
      <c r="H77">
        <v>504000</v>
      </c>
      <c r="I77" s="1" t="s">
        <v>144</v>
      </c>
      <c r="J77">
        <v>3.4860301017761199</v>
      </c>
    </row>
    <row r="78" spans="4:10" x14ac:dyDescent="0.25">
      <c r="D78">
        <v>450</v>
      </c>
      <c r="E78" s="1" t="s">
        <v>145</v>
      </c>
      <c r="F78">
        <v>36</v>
      </c>
      <c r="G78">
        <v>1310</v>
      </c>
      <c r="H78">
        <v>657000</v>
      </c>
      <c r="I78" s="1" t="s">
        <v>146</v>
      </c>
      <c r="J78">
        <v>3.4477000236511199</v>
      </c>
    </row>
    <row r="79" spans="4:10" x14ac:dyDescent="0.25">
      <c r="D79">
        <v>451</v>
      </c>
      <c r="E79" s="1" t="s">
        <v>147</v>
      </c>
      <c r="F79">
        <v>6</v>
      </c>
      <c r="G79">
        <v>260</v>
      </c>
      <c r="H79">
        <v>370000</v>
      </c>
      <c r="I79" s="1" t="s">
        <v>148</v>
      </c>
      <c r="J79">
        <v>3.4129099845886199</v>
      </c>
    </row>
    <row r="80" spans="4:10" x14ac:dyDescent="0.25">
      <c r="D80">
        <v>452</v>
      </c>
      <c r="E80" s="1" t="s">
        <v>149</v>
      </c>
      <c r="F80">
        <v>25</v>
      </c>
      <c r="G80">
        <v>860</v>
      </c>
      <c r="H80">
        <v>687000</v>
      </c>
      <c r="I80" s="1" t="s">
        <v>150</v>
      </c>
      <c r="J80">
        <v>3.38091993331909</v>
      </c>
    </row>
    <row r="81" spans="4:10" x14ac:dyDescent="0.25">
      <c r="D81">
        <v>454</v>
      </c>
      <c r="E81" s="1" t="s">
        <v>151</v>
      </c>
      <c r="F81">
        <v>14</v>
      </c>
      <c r="G81">
        <v>690</v>
      </c>
      <c r="H81">
        <v>110000</v>
      </c>
      <c r="I81" s="1" t="s">
        <v>152</v>
      </c>
      <c r="J81">
        <v>3.3624999523162802</v>
      </c>
    </row>
    <row r="82" spans="4:10" x14ac:dyDescent="0.25">
      <c r="D82">
        <v>456</v>
      </c>
      <c r="E82" s="1" t="s">
        <v>153</v>
      </c>
      <c r="F82">
        <v>42</v>
      </c>
      <c r="G82">
        <v>1530</v>
      </c>
      <c r="H82">
        <v>560000</v>
      </c>
      <c r="I82" s="1" t="s">
        <v>154</v>
      </c>
      <c r="J82">
        <v>3.30729007720947</v>
      </c>
    </row>
    <row r="83" spans="4:10" x14ac:dyDescent="0.25">
      <c r="D83">
        <v>457</v>
      </c>
      <c r="E83" s="1" t="s">
        <v>155</v>
      </c>
      <c r="F83">
        <v>13</v>
      </c>
      <c r="G83">
        <v>400</v>
      </c>
      <c r="H83">
        <v>764000</v>
      </c>
      <c r="I83" s="1" t="s">
        <v>156</v>
      </c>
      <c r="J83">
        <v>3.2916998863220202</v>
      </c>
    </row>
    <row r="84" spans="4:10" x14ac:dyDescent="0.25">
      <c r="D84">
        <v>458</v>
      </c>
      <c r="E84" s="1" t="s">
        <v>157</v>
      </c>
      <c r="F84">
        <v>11</v>
      </c>
      <c r="G84">
        <v>400</v>
      </c>
      <c r="H84">
        <v>539000</v>
      </c>
      <c r="I84" s="1" t="s">
        <v>158</v>
      </c>
      <c r="J84">
        <v>3.2727999687194802</v>
      </c>
    </row>
    <row r="85" spans="4:10" x14ac:dyDescent="0.25">
      <c r="D85">
        <v>460</v>
      </c>
      <c r="E85" s="1" t="s">
        <v>159</v>
      </c>
      <c r="F85">
        <v>8</v>
      </c>
      <c r="G85">
        <v>340</v>
      </c>
      <c r="H85">
        <v>249000</v>
      </c>
      <c r="I85" s="1" t="s">
        <v>160</v>
      </c>
      <c r="J85">
        <v>3.1885399818420401</v>
      </c>
    </row>
    <row r="86" spans="4:10" x14ac:dyDescent="0.25">
      <c r="D86">
        <v>461</v>
      </c>
      <c r="E86" s="1" t="s">
        <v>161</v>
      </c>
      <c r="F86">
        <v>8</v>
      </c>
      <c r="G86">
        <v>340</v>
      </c>
      <c r="H86">
        <v>247000</v>
      </c>
      <c r="I86" s="1" t="s">
        <v>162</v>
      </c>
      <c r="J86">
        <v>3.1856000423431401</v>
      </c>
    </row>
    <row r="87" spans="4:10" x14ac:dyDescent="0.25">
      <c r="D87">
        <v>462</v>
      </c>
      <c r="E87" s="1" t="s">
        <v>163</v>
      </c>
      <c r="F87">
        <v>15</v>
      </c>
      <c r="G87">
        <v>520</v>
      </c>
      <c r="H87">
        <v>534000</v>
      </c>
      <c r="I87" s="1" t="s">
        <v>164</v>
      </c>
      <c r="J87">
        <v>3.1708300113678001</v>
      </c>
    </row>
    <row r="88" spans="4:10" x14ac:dyDescent="0.25">
      <c r="D88">
        <v>463</v>
      </c>
      <c r="E88" s="1" t="s">
        <v>165</v>
      </c>
      <c r="F88">
        <v>9</v>
      </c>
      <c r="G88">
        <v>390</v>
      </c>
      <c r="H88">
        <v>204000</v>
      </c>
      <c r="I88" s="1" t="s">
        <v>166</v>
      </c>
      <c r="J88">
        <v>3.1688399314880402</v>
      </c>
    </row>
    <row r="89" spans="4:10" x14ac:dyDescent="0.25">
      <c r="D89">
        <v>464</v>
      </c>
      <c r="E89" s="1" t="s">
        <v>167</v>
      </c>
      <c r="F89">
        <v>8</v>
      </c>
      <c r="G89">
        <v>370</v>
      </c>
      <c r="H89">
        <v>85100</v>
      </c>
      <c r="I89" s="1" t="s">
        <v>168</v>
      </c>
      <c r="J89">
        <v>3.1566400527954102</v>
      </c>
    </row>
    <row r="90" spans="4:10" x14ac:dyDescent="0.25">
      <c r="D90">
        <v>465</v>
      </c>
      <c r="E90" s="1" t="s">
        <v>169</v>
      </c>
      <c r="F90">
        <v>13</v>
      </c>
      <c r="G90">
        <v>460</v>
      </c>
      <c r="H90">
        <v>485000</v>
      </c>
      <c r="I90" s="1" t="s">
        <v>170</v>
      </c>
      <c r="J90">
        <v>3.1388199329376198</v>
      </c>
    </row>
    <row r="91" spans="4:10" x14ac:dyDescent="0.25">
      <c r="D91">
        <v>466</v>
      </c>
      <c r="E91" s="1" t="s">
        <v>171</v>
      </c>
      <c r="F91">
        <v>13</v>
      </c>
      <c r="G91">
        <v>590</v>
      </c>
      <c r="H91">
        <v>96200</v>
      </c>
      <c r="I91" s="1" t="s">
        <v>172</v>
      </c>
      <c r="J91">
        <v>3.1247100830078098</v>
      </c>
    </row>
    <row r="92" spans="4:10" x14ac:dyDescent="0.25">
      <c r="D92">
        <v>467</v>
      </c>
      <c r="E92" s="1" t="s">
        <v>173</v>
      </c>
      <c r="F92">
        <v>8</v>
      </c>
      <c r="G92">
        <v>280</v>
      </c>
      <c r="H92">
        <v>473000</v>
      </c>
      <c r="I92" s="1" t="s">
        <v>174</v>
      </c>
      <c r="J92">
        <v>3.0997300148010298</v>
      </c>
    </row>
    <row r="93" spans="4:10" x14ac:dyDescent="0.25">
      <c r="D93">
        <v>469</v>
      </c>
      <c r="E93" s="1" t="s">
        <v>175</v>
      </c>
      <c r="F93">
        <v>14</v>
      </c>
      <c r="G93">
        <v>630</v>
      </c>
      <c r="H93">
        <v>68800</v>
      </c>
      <c r="I93" s="1" t="s">
        <v>176</v>
      </c>
      <c r="J93">
        <v>3.0629799365997301</v>
      </c>
    </row>
    <row r="94" spans="4:10" x14ac:dyDescent="0.25">
      <c r="D94">
        <v>471</v>
      </c>
      <c r="E94" s="1" t="s">
        <v>177</v>
      </c>
      <c r="F94">
        <v>10</v>
      </c>
      <c r="G94">
        <v>400</v>
      </c>
      <c r="H94">
        <v>234000</v>
      </c>
      <c r="I94" s="1" t="s">
        <v>178</v>
      </c>
      <c r="J94">
        <v>3.02710008621216</v>
      </c>
    </row>
    <row r="95" spans="4:10" x14ac:dyDescent="0.25">
      <c r="D95">
        <v>472</v>
      </c>
      <c r="E95" s="1" t="s">
        <v>179</v>
      </c>
      <c r="F95">
        <v>6</v>
      </c>
      <c r="G95">
        <v>170</v>
      </c>
      <c r="H95">
        <v>667000</v>
      </c>
      <c r="I95" s="1" t="s">
        <v>180</v>
      </c>
      <c r="J95">
        <v>3.0132699012756299</v>
      </c>
    </row>
    <row r="96" spans="4:10" x14ac:dyDescent="0.25">
      <c r="D96">
        <v>473</v>
      </c>
      <c r="E96" s="1" t="s">
        <v>181</v>
      </c>
      <c r="F96">
        <v>7</v>
      </c>
      <c r="G96">
        <v>210</v>
      </c>
      <c r="H96">
        <v>584000</v>
      </c>
      <c r="I96" s="1" t="s">
        <v>182</v>
      </c>
      <c r="J96">
        <v>2.9841599464416499</v>
      </c>
    </row>
    <row r="97" spans="4:10" x14ac:dyDescent="0.25">
      <c r="D97">
        <v>474</v>
      </c>
      <c r="E97" s="1" t="s">
        <v>183</v>
      </c>
      <c r="F97">
        <v>16</v>
      </c>
      <c r="G97">
        <v>480</v>
      </c>
      <c r="H97">
        <v>570000</v>
      </c>
      <c r="I97" s="1" t="s">
        <v>184</v>
      </c>
      <c r="J97">
        <v>2.96357989311218</v>
      </c>
    </row>
    <row r="98" spans="4:10" x14ac:dyDescent="0.25">
      <c r="D98">
        <v>477</v>
      </c>
      <c r="E98" s="1" t="s">
        <v>185</v>
      </c>
      <c r="F98">
        <v>10</v>
      </c>
      <c r="G98">
        <v>420</v>
      </c>
      <c r="H98">
        <v>102000</v>
      </c>
      <c r="I98" s="1" t="s">
        <v>186</v>
      </c>
      <c r="J98">
        <v>2.94453001022339</v>
      </c>
    </row>
    <row r="99" spans="4:10" x14ac:dyDescent="0.25">
      <c r="D99">
        <v>478</v>
      </c>
      <c r="E99" s="1" t="s">
        <v>187</v>
      </c>
      <c r="F99">
        <v>14</v>
      </c>
      <c r="G99">
        <v>570</v>
      </c>
      <c r="H99">
        <v>148000</v>
      </c>
      <c r="I99" s="1" t="s">
        <v>188</v>
      </c>
      <c r="J99">
        <v>2.94047999382019</v>
      </c>
    </row>
    <row r="100" spans="4:10" x14ac:dyDescent="0.25">
      <c r="D100">
        <v>479</v>
      </c>
      <c r="E100" s="1" t="s">
        <v>189</v>
      </c>
      <c r="F100">
        <v>20</v>
      </c>
      <c r="G100">
        <v>790</v>
      </c>
      <c r="H100">
        <v>193000</v>
      </c>
      <c r="I100" s="1" t="s">
        <v>190</v>
      </c>
      <c r="J100">
        <v>2.9389400482177699</v>
      </c>
    </row>
    <row r="101" spans="4:10" x14ac:dyDescent="0.25">
      <c r="D101">
        <v>480</v>
      </c>
      <c r="E101" s="1" t="s">
        <v>191</v>
      </c>
      <c r="F101">
        <v>14</v>
      </c>
      <c r="G101">
        <v>450</v>
      </c>
      <c r="H101">
        <v>462000</v>
      </c>
      <c r="I101" s="1" t="s">
        <v>192</v>
      </c>
      <c r="J101">
        <v>2.9242599010467498</v>
      </c>
    </row>
    <row r="102" spans="4:10" x14ac:dyDescent="0.25">
      <c r="D102">
        <v>481</v>
      </c>
      <c r="E102" s="1" t="s">
        <v>193</v>
      </c>
      <c r="F102">
        <v>17</v>
      </c>
      <c r="G102">
        <v>550</v>
      </c>
      <c r="H102">
        <v>452000</v>
      </c>
      <c r="I102" s="1" t="s">
        <v>194</v>
      </c>
      <c r="J102">
        <v>2.9212698936462398</v>
      </c>
    </row>
    <row r="103" spans="4:10" x14ac:dyDescent="0.25">
      <c r="D103">
        <v>482</v>
      </c>
      <c r="E103" s="1" t="s">
        <v>195</v>
      </c>
      <c r="F103">
        <v>21</v>
      </c>
      <c r="G103">
        <v>780</v>
      </c>
      <c r="H103">
        <v>268000</v>
      </c>
      <c r="I103" s="1" t="s">
        <v>196</v>
      </c>
      <c r="J103">
        <v>2.9177899360656698</v>
      </c>
    </row>
    <row r="104" spans="4:10" x14ac:dyDescent="0.25">
      <c r="D104">
        <v>485</v>
      </c>
      <c r="E104" s="1" t="s">
        <v>197</v>
      </c>
      <c r="F104">
        <v>17</v>
      </c>
      <c r="G104">
        <v>660</v>
      </c>
      <c r="H104">
        <v>180000</v>
      </c>
      <c r="I104" s="1" t="s">
        <v>198</v>
      </c>
      <c r="J104">
        <v>2.8821101188659699</v>
      </c>
    </row>
    <row r="105" spans="4:10" x14ac:dyDescent="0.25">
      <c r="D105">
        <v>486</v>
      </c>
      <c r="E105" s="1" t="s">
        <v>199</v>
      </c>
      <c r="F105">
        <v>12</v>
      </c>
      <c r="G105">
        <v>500</v>
      </c>
      <c r="H105">
        <v>57800</v>
      </c>
      <c r="I105" s="1" t="s">
        <v>200</v>
      </c>
      <c r="J105">
        <v>2.8609600067138699</v>
      </c>
    </row>
    <row r="106" spans="4:10" x14ac:dyDescent="0.25">
      <c r="D106">
        <v>487</v>
      </c>
      <c r="E106" s="1" t="s">
        <v>201</v>
      </c>
      <c r="F106">
        <v>13</v>
      </c>
      <c r="G106">
        <v>370</v>
      </c>
      <c r="H106">
        <v>549000</v>
      </c>
      <c r="I106" s="1" t="s">
        <v>202</v>
      </c>
      <c r="J106">
        <v>2.8469300270080602</v>
      </c>
    </row>
    <row r="107" spans="4:10" x14ac:dyDescent="0.25">
      <c r="D107">
        <v>488</v>
      </c>
      <c r="E107" s="1" t="s">
        <v>203</v>
      </c>
      <c r="F107">
        <v>9</v>
      </c>
      <c r="G107">
        <v>350</v>
      </c>
      <c r="H107">
        <v>149000</v>
      </c>
      <c r="I107" s="1" t="s">
        <v>204</v>
      </c>
      <c r="J107">
        <v>2.8401799201965301</v>
      </c>
    </row>
    <row r="108" spans="4:10" x14ac:dyDescent="0.25">
      <c r="D108">
        <v>490</v>
      </c>
      <c r="E108" s="1" t="s">
        <v>205</v>
      </c>
      <c r="F108">
        <v>12</v>
      </c>
      <c r="G108">
        <v>480</v>
      </c>
      <c r="H108">
        <v>84800</v>
      </c>
      <c r="I108" s="1" t="s">
        <v>206</v>
      </c>
      <c r="J108">
        <v>2.8077299594879199</v>
      </c>
    </row>
    <row r="109" spans="4:10" x14ac:dyDescent="0.25">
      <c r="D109">
        <v>491</v>
      </c>
      <c r="E109" s="1" t="s">
        <v>207</v>
      </c>
      <c r="F109">
        <v>10</v>
      </c>
      <c r="G109">
        <v>340</v>
      </c>
      <c r="H109">
        <v>310000</v>
      </c>
      <c r="I109" s="1" t="s">
        <v>208</v>
      </c>
      <c r="J109">
        <v>2.8043200969696001</v>
      </c>
    </row>
    <row r="110" spans="4:10" x14ac:dyDescent="0.25">
      <c r="D110">
        <v>492</v>
      </c>
      <c r="E110" s="1" t="s">
        <v>209</v>
      </c>
      <c r="F110">
        <v>20</v>
      </c>
      <c r="G110">
        <v>740</v>
      </c>
      <c r="H110">
        <v>192000</v>
      </c>
      <c r="I110" s="1" t="s">
        <v>210</v>
      </c>
      <c r="J110">
        <v>2.7980899810790998</v>
      </c>
    </row>
    <row r="111" spans="4:10" x14ac:dyDescent="0.25">
      <c r="D111">
        <v>493</v>
      </c>
      <c r="E111" s="1" t="s">
        <v>211</v>
      </c>
      <c r="F111">
        <v>15</v>
      </c>
      <c r="G111">
        <v>460</v>
      </c>
      <c r="H111">
        <v>430000</v>
      </c>
      <c r="I111" s="1" t="s">
        <v>212</v>
      </c>
      <c r="J111">
        <v>2.79490995407104</v>
      </c>
    </row>
    <row r="112" spans="4:10" x14ac:dyDescent="0.25">
      <c r="D112">
        <v>494</v>
      </c>
      <c r="E112" s="1" t="s">
        <v>213</v>
      </c>
      <c r="F112">
        <v>8</v>
      </c>
      <c r="G112">
        <v>310</v>
      </c>
      <c r="H112">
        <v>109000</v>
      </c>
      <c r="I112" s="1" t="s">
        <v>214</v>
      </c>
      <c r="J112">
        <v>2.77361989021301</v>
      </c>
    </row>
    <row r="113" spans="4:10" x14ac:dyDescent="0.25">
      <c r="D113">
        <v>495</v>
      </c>
      <c r="E113" s="1" t="s">
        <v>215</v>
      </c>
      <c r="F113">
        <v>10</v>
      </c>
      <c r="G113">
        <v>350</v>
      </c>
      <c r="H113">
        <v>238000</v>
      </c>
      <c r="I113" s="1" t="s">
        <v>216</v>
      </c>
      <c r="J113">
        <v>2.7542099952697798</v>
      </c>
    </row>
    <row r="114" spans="4:10" x14ac:dyDescent="0.25">
      <c r="D114">
        <v>496</v>
      </c>
      <c r="E114" s="1" t="s">
        <v>217</v>
      </c>
      <c r="F114">
        <v>8</v>
      </c>
      <c r="G114">
        <v>290</v>
      </c>
      <c r="H114">
        <v>184000</v>
      </c>
      <c r="I114" s="1" t="s">
        <v>218</v>
      </c>
      <c r="J114">
        <v>2.7445099353790301</v>
      </c>
    </row>
    <row r="115" spans="4:10" x14ac:dyDescent="0.25">
      <c r="D115">
        <v>497</v>
      </c>
      <c r="E115" s="1" t="s">
        <v>219</v>
      </c>
      <c r="F115">
        <v>11</v>
      </c>
      <c r="G115">
        <v>370</v>
      </c>
      <c r="H115">
        <v>278000</v>
      </c>
      <c r="I115" s="1" t="s">
        <v>220</v>
      </c>
      <c r="J115">
        <v>2.7369899749755899</v>
      </c>
    </row>
    <row r="116" spans="4:10" x14ac:dyDescent="0.25">
      <c r="D116">
        <v>498</v>
      </c>
      <c r="E116" s="1" t="s">
        <v>221</v>
      </c>
      <c r="F116">
        <v>22</v>
      </c>
      <c r="G116">
        <v>830</v>
      </c>
      <c r="H116">
        <v>117000</v>
      </c>
      <c r="I116" s="1" t="s">
        <v>222</v>
      </c>
      <c r="J116">
        <v>2.7283599376678498</v>
      </c>
    </row>
    <row r="117" spans="4:10" x14ac:dyDescent="0.25">
      <c r="D117">
        <v>499</v>
      </c>
      <c r="E117" s="1" t="s">
        <v>223</v>
      </c>
      <c r="F117">
        <v>6</v>
      </c>
      <c r="G117">
        <v>230</v>
      </c>
      <c r="H117">
        <v>92500</v>
      </c>
      <c r="I117" s="1" t="s">
        <v>224</v>
      </c>
      <c r="J117">
        <v>2.7261300086975102</v>
      </c>
    </row>
    <row r="118" spans="4:10" x14ac:dyDescent="0.25">
      <c r="D118">
        <v>500</v>
      </c>
      <c r="E118" s="1" t="s">
        <v>225</v>
      </c>
      <c r="F118">
        <v>11</v>
      </c>
      <c r="G118">
        <v>370</v>
      </c>
      <c r="H118">
        <v>267000</v>
      </c>
      <c r="I118" s="1" t="s">
        <v>226</v>
      </c>
      <c r="J118">
        <v>2.7208199501037602</v>
      </c>
    </row>
    <row r="119" spans="4:10" x14ac:dyDescent="0.25">
      <c r="D119">
        <v>501</v>
      </c>
      <c r="E119" s="1" t="s">
        <v>227</v>
      </c>
      <c r="F119">
        <v>9</v>
      </c>
      <c r="G119">
        <v>300</v>
      </c>
      <c r="H119">
        <v>262000</v>
      </c>
      <c r="I119" s="1" t="s">
        <v>228</v>
      </c>
      <c r="J119">
        <v>2.6965799331664999</v>
      </c>
    </row>
    <row r="120" spans="4:10" x14ac:dyDescent="0.25">
      <c r="D120">
        <v>504</v>
      </c>
      <c r="E120" s="1" t="s">
        <v>229</v>
      </c>
      <c r="F120">
        <v>9</v>
      </c>
      <c r="G120">
        <v>210</v>
      </c>
      <c r="H120">
        <v>610000</v>
      </c>
      <c r="I120" s="1" t="s">
        <v>230</v>
      </c>
      <c r="J120">
        <v>2.6507000923156698</v>
      </c>
    </row>
    <row r="121" spans="4:10" x14ac:dyDescent="0.25">
      <c r="D121">
        <v>505</v>
      </c>
      <c r="E121" s="1" t="s">
        <v>231</v>
      </c>
      <c r="F121">
        <v>9</v>
      </c>
      <c r="G121">
        <v>240</v>
      </c>
      <c r="H121">
        <v>471000</v>
      </c>
      <c r="I121" s="1" t="s">
        <v>232</v>
      </c>
      <c r="J121">
        <v>2.63216996192932</v>
      </c>
    </row>
    <row r="122" spans="4:10" x14ac:dyDescent="0.25">
      <c r="D122">
        <v>506</v>
      </c>
      <c r="E122" s="1" t="s">
        <v>233</v>
      </c>
      <c r="F122">
        <v>9</v>
      </c>
      <c r="G122">
        <v>210</v>
      </c>
      <c r="H122">
        <v>595000</v>
      </c>
      <c r="I122" s="1" t="s">
        <v>234</v>
      </c>
      <c r="J122">
        <v>2.62863993644714</v>
      </c>
    </row>
    <row r="123" spans="4:10" x14ac:dyDescent="0.25">
      <c r="D123">
        <v>507</v>
      </c>
      <c r="E123" s="1" t="s">
        <v>235</v>
      </c>
      <c r="F123">
        <v>22</v>
      </c>
      <c r="G123">
        <v>750</v>
      </c>
      <c r="H123">
        <v>185000</v>
      </c>
      <c r="I123" s="1" t="s">
        <v>236</v>
      </c>
      <c r="J123">
        <v>2.6256000995636</v>
      </c>
    </row>
    <row r="124" spans="4:10" x14ac:dyDescent="0.25">
      <c r="D124">
        <v>508</v>
      </c>
      <c r="E124" s="1" t="s">
        <v>237</v>
      </c>
      <c r="F124">
        <v>7</v>
      </c>
      <c r="G124">
        <v>270</v>
      </c>
      <c r="H124">
        <v>14300</v>
      </c>
      <c r="I124" s="1" t="s">
        <v>238</v>
      </c>
      <c r="J124">
        <v>2.6244299411773699</v>
      </c>
    </row>
    <row r="125" spans="4:10" x14ac:dyDescent="0.25">
      <c r="D125">
        <v>509</v>
      </c>
      <c r="E125" s="1" t="s">
        <v>239</v>
      </c>
      <c r="F125">
        <v>6</v>
      </c>
      <c r="G125">
        <v>190</v>
      </c>
      <c r="H125">
        <v>271000</v>
      </c>
      <c r="I125" s="1" t="s">
        <v>240</v>
      </c>
      <c r="J125">
        <v>2.6168799400329599</v>
      </c>
    </row>
    <row r="126" spans="4:10" x14ac:dyDescent="0.25">
      <c r="D126">
        <v>510</v>
      </c>
      <c r="E126" s="1" t="s">
        <v>241</v>
      </c>
      <c r="F126">
        <v>25</v>
      </c>
      <c r="G126">
        <v>740</v>
      </c>
      <c r="H126">
        <v>349000</v>
      </c>
      <c r="I126" s="1" t="s">
        <v>242</v>
      </c>
      <c r="J126">
        <v>2.6163399219512899</v>
      </c>
    </row>
    <row r="127" spans="4:10" x14ac:dyDescent="0.25">
      <c r="D127">
        <v>511</v>
      </c>
      <c r="E127" s="1" t="s">
        <v>243</v>
      </c>
      <c r="F127">
        <v>8</v>
      </c>
      <c r="G127">
        <v>300</v>
      </c>
      <c r="H127">
        <v>12300</v>
      </c>
      <c r="I127" s="1" t="s">
        <v>244</v>
      </c>
      <c r="J127">
        <v>2.56174993515015</v>
      </c>
    </row>
    <row r="128" spans="4:10" x14ac:dyDescent="0.25">
      <c r="D128">
        <v>514</v>
      </c>
      <c r="E128" s="1" t="s">
        <v>245</v>
      </c>
      <c r="F128">
        <v>17</v>
      </c>
      <c r="G128">
        <v>530</v>
      </c>
      <c r="H128">
        <v>235000</v>
      </c>
      <c r="I128" s="1" t="s">
        <v>246</v>
      </c>
      <c r="J128">
        <v>2.5366199016571001</v>
      </c>
    </row>
    <row r="129" spans="4:10" x14ac:dyDescent="0.25">
      <c r="D129">
        <v>517</v>
      </c>
      <c r="E129" s="1" t="s">
        <v>247</v>
      </c>
      <c r="F129">
        <v>9</v>
      </c>
      <c r="G129">
        <v>280</v>
      </c>
      <c r="H129">
        <v>229000</v>
      </c>
      <c r="I129" s="1" t="s">
        <v>248</v>
      </c>
      <c r="J129">
        <v>2.52415990829468</v>
      </c>
    </row>
    <row r="130" spans="4:10" x14ac:dyDescent="0.25">
      <c r="D130">
        <v>518</v>
      </c>
      <c r="E130" s="1" t="s">
        <v>249</v>
      </c>
      <c r="F130">
        <v>5</v>
      </c>
      <c r="G130">
        <v>180</v>
      </c>
      <c r="H130">
        <v>38100</v>
      </c>
      <c r="I130" s="1" t="s">
        <v>250</v>
      </c>
      <c r="J130">
        <v>2.5160501003265399</v>
      </c>
    </row>
    <row r="131" spans="4:10" x14ac:dyDescent="0.25">
      <c r="D131">
        <v>519</v>
      </c>
      <c r="E131" s="1" t="s">
        <v>251</v>
      </c>
      <c r="F131">
        <v>11</v>
      </c>
      <c r="G131">
        <v>350</v>
      </c>
      <c r="H131">
        <v>193000</v>
      </c>
      <c r="I131" s="1" t="s">
        <v>190</v>
      </c>
      <c r="J131">
        <v>2.5106499195098899</v>
      </c>
    </row>
    <row r="132" spans="4:10" x14ac:dyDescent="0.25">
      <c r="D132">
        <v>520</v>
      </c>
      <c r="E132" s="1" t="s">
        <v>252</v>
      </c>
      <c r="F132">
        <v>8</v>
      </c>
      <c r="G132">
        <v>260</v>
      </c>
      <c r="H132">
        <v>165000</v>
      </c>
      <c r="I132" s="1" t="s">
        <v>120</v>
      </c>
      <c r="J132">
        <v>2.5074999332428001</v>
      </c>
    </row>
    <row r="133" spans="4:10" x14ac:dyDescent="0.25">
      <c r="D133">
        <v>521</v>
      </c>
      <c r="E133" s="1" t="s">
        <v>253</v>
      </c>
      <c r="F133">
        <v>6</v>
      </c>
      <c r="G133">
        <v>160</v>
      </c>
      <c r="H133">
        <v>377000</v>
      </c>
      <c r="I133" s="1" t="s">
        <v>254</v>
      </c>
      <c r="J133">
        <v>2.4939699172973602</v>
      </c>
    </row>
    <row r="134" spans="4:10" x14ac:dyDescent="0.25">
      <c r="D134">
        <v>522</v>
      </c>
      <c r="E134" s="1" t="s">
        <v>255</v>
      </c>
      <c r="F134">
        <v>7</v>
      </c>
      <c r="G134">
        <v>250</v>
      </c>
      <c r="H134">
        <v>24500</v>
      </c>
      <c r="I134" s="1" t="s">
        <v>256</v>
      </c>
      <c r="J134">
        <v>2.4801299571990998</v>
      </c>
    </row>
    <row r="135" spans="4:10" x14ac:dyDescent="0.25">
      <c r="D135">
        <v>523</v>
      </c>
      <c r="E135" s="1" t="s">
        <v>257</v>
      </c>
      <c r="F135">
        <v>15</v>
      </c>
      <c r="G135">
        <v>340</v>
      </c>
      <c r="H135">
        <v>509000</v>
      </c>
      <c r="I135" s="1" t="s">
        <v>258</v>
      </c>
      <c r="J135">
        <v>2.4650299549102801</v>
      </c>
    </row>
    <row r="136" spans="4:10" x14ac:dyDescent="0.25">
      <c r="D136">
        <v>525</v>
      </c>
      <c r="E136" s="1" t="s">
        <v>259</v>
      </c>
      <c r="F136">
        <v>7</v>
      </c>
      <c r="G136">
        <v>230</v>
      </c>
      <c r="H136">
        <v>111000</v>
      </c>
      <c r="I136" s="1" t="s">
        <v>260</v>
      </c>
      <c r="J136">
        <v>2.44800996780396</v>
      </c>
    </row>
    <row r="137" spans="4:10" x14ac:dyDescent="0.25">
      <c r="D137">
        <v>526</v>
      </c>
      <c r="E137" s="1" t="s">
        <v>261</v>
      </c>
      <c r="F137">
        <v>10</v>
      </c>
      <c r="G137">
        <v>350</v>
      </c>
      <c r="H137">
        <v>28100</v>
      </c>
      <c r="I137" s="1" t="s">
        <v>262</v>
      </c>
      <c r="J137">
        <v>2.4456000328064</v>
      </c>
    </row>
    <row r="138" spans="4:10" x14ac:dyDescent="0.25">
      <c r="D138">
        <v>527</v>
      </c>
      <c r="E138" s="1" t="s">
        <v>263</v>
      </c>
      <c r="F138">
        <v>23</v>
      </c>
      <c r="G138">
        <v>720</v>
      </c>
      <c r="H138">
        <v>160000</v>
      </c>
      <c r="I138" s="1" t="s">
        <v>264</v>
      </c>
      <c r="J138">
        <v>2.4334800243377699</v>
      </c>
    </row>
    <row r="139" spans="4:10" x14ac:dyDescent="0.25">
      <c r="D139">
        <v>528</v>
      </c>
      <c r="E139" s="1" t="s">
        <v>265</v>
      </c>
      <c r="F139">
        <v>24</v>
      </c>
      <c r="G139">
        <v>710</v>
      </c>
      <c r="H139">
        <v>221000</v>
      </c>
      <c r="I139" s="1" t="s">
        <v>266</v>
      </c>
      <c r="J139">
        <v>2.4272201061248802</v>
      </c>
    </row>
    <row r="140" spans="4:10" x14ac:dyDescent="0.25">
      <c r="D140">
        <v>529</v>
      </c>
      <c r="E140" s="1" t="s">
        <v>267</v>
      </c>
      <c r="F140">
        <v>11</v>
      </c>
      <c r="G140">
        <v>380</v>
      </c>
      <c r="H140">
        <v>14500</v>
      </c>
      <c r="I140" s="1" t="s">
        <v>268</v>
      </c>
      <c r="J140">
        <v>2.4002599716186501</v>
      </c>
    </row>
    <row r="141" spans="4:10" x14ac:dyDescent="0.25">
      <c r="D141">
        <v>534</v>
      </c>
      <c r="E141" s="1" t="s">
        <v>269</v>
      </c>
      <c r="F141">
        <v>7</v>
      </c>
      <c r="G141">
        <v>240</v>
      </c>
      <c r="H141">
        <v>13500</v>
      </c>
      <c r="I141" s="1" t="s">
        <v>270</v>
      </c>
      <c r="J141">
        <v>2.38431000709534</v>
      </c>
    </row>
    <row r="142" spans="4:10" x14ac:dyDescent="0.25">
      <c r="D142">
        <v>535</v>
      </c>
      <c r="E142" s="1" t="s">
        <v>271</v>
      </c>
      <c r="F142">
        <v>17</v>
      </c>
      <c r="G142">
        <v>540</v>
      </c>
      <c r="H142">
        <v>105000</v>
      </c>
      <c r="I142" s="1" t="s">
        <v>272</v>
      </c>
      <c r="J142">
        <v>2.3782799243927002</v>
      </c>
    </row>
    <row r="143" spans="4:10" x14ac:dyDescent="0.25">
      <c r="D143">
        <v>536</v>
      </c>
      <c r="E143" s="1" t="s">
        <v>273</v>
      </c>
      <c r="F143">
        <v>16</v>
      </c>
      <c r="G143">
        <v>380</v>
      </c>
      <c r="H143">
        <v>408000</v>
      </c>
      <c r="I143" s="1" t="s">
        <v>274</v>
      </c>
      <c r="J143">
        <v>2.3769299983978298</v>
      </c>
    </row>
    <row r="144" spans="4:10" x14ac:dyDescent="0.25">
      <c r="D144">
        <v>537</v>
      </c>
      <c r="E144" s="1" t="s">
        <v>275</v>
      </c>
      <c r="F144">
        <v>9</v>
      </c>
      <c r="G144">
        <v>300</v>
      </c>
      <c r="H144">
        <v>34700</v>
      </c>
      <c r="I144" s="1" t="s">
        <v>276</v>
      </c>
      <c r="J144">
        <v>2.3623800277710001</v>
      </c>
    </row>
    <row r="145" spans="4:10" x14ac:dyDescent="0.25">
      <c r="D145">
        <v>538</v>
      </c>
      <c r="E145" s="1" t="s">
        <v>277</v>
      </c>
      <c r="F145">
        <v>9</v>
      </c>
      <c r="G145">
        <v>230</v>
      </c>
      <c r="H145">
        <v>302000</v>
      </c>
      <c r="I145" s="1" t="s">
        <v>278</v>
      </c>
      <c r="J145">
        <v>2.3217499256134002</v>
      </c>
    </row>
    <row r="146" spans="4:10" x14ac:dyDescent="0.25">
      <c r="D146">
        <v>539</v>
      </c>
      <c r="E146" s="1" t="s">
        <v>279</v>
      </c>
      <c r="F146">
        <v>10</v>
      </c>
      <c r="G146">
        <v>330</v>
      </c>
      <c r="H146">
        <v>17900</v>
      </c>
      <c r="I146" s="1" t="s">
        <v>280</v>
      </c>
      <c r="J146">
        <v>2.3190898895263699</v>
      </c>
    </row>
    <row r="147" spans="4:10" x14ac:dyDescent="0.25">
      <c r="D147">
        <v>540</v>
      </c>
      <c r="E147" s="1" t="s">
        <v>281</v>
      </c>
      <c r="F147">
        <v>13</v>
      </c>
      <c r="G147">
        <v>380</v>
      </c>
      <c r="H147">
        <v>157000</v>
      </c>
      <c r="I147" s="1" t="s">
        <v>282</v>
      </c>
      <c r="J147">
        <v>2.3134601116180402</v>
      </c>
    </row>
    <row r="148" spans="4:10" x14ac:dyDescent="0.25">
      <c r="D148">
        <v>541</v>
      </c>
      <c r="E148" s="1" t="s">
        <v>283</v>
      </c>
      <c r="F148">
        <v>7</v>
      </c>
      <c r="G148">
        <v>230</v>
      </c>
      <c r="H148">
        <v>17300</v>
      </c>
      <c r="I148" s="1" t="s">
        <v>284</v>
      </c>
      <c r="J148">
        <v>2.3102500438690199</v>
      </c>
    </row>
    <row r="149" spans="4:10" x14ac:dyDescent="0.25">
      <c r="D149">
        <v>542</v>
      </c>
      <c r="E149" s="1" t="s">
        <v>285</v>
      </c>
      <c r="F149">
        <v>10</v>
      </c>
      <c r="G149">
        <v>320</v>
      </c>
      <c r="H149">
        <v>46700</v>
      </c>
      <c r="I149" s="1" t="s">
        <v>286</v>
      </c>
      <c r="J149">
        <v>2.3056800365447998</v>
      </c>
    </row>
    <row r="150" spans="4:10" x14ac:dyDescent="0.25">
      <c r="D150">
        <v>543</v>
      </c>
      <c r="E150" s="1" t="s">
        <v>287</v>
      </c>
      <c r="F150">
        <v>9</v>
      </c>
      <c r="G150">
        <v>290</v>
      </c>
      <c r="H150">
        <v>28900</v>
      </c>
      <c r="I150" s="1" t="s">
        <v>288</v>
      </c>
      <c r="J150">
        <v>2.2918999195098899</v>
      </c>
    </row>
    <row r="151" spans="4:10" x14ac:dyDescent="0.25">
      <c r="D151">
        <v>544</v>
      </c>
      <c r="E151" s="1" t="s">
        <v>289</v>
      </c>
      <c r="F151">
        <v>5</v>
      </c>
      <c r="G151">
        <v>160</v>
      </c>
      <c r="H151">
        <v>29100</v>
      </c>
      <c r="I151" s="1" t="s">
        <v>290</v>
      </c>
      <c r="J151">
        <v>2.2798099517822301</v>
      </c>
    </row>
    <row r="152" spans="4:10" x14ac:dyDescent="0.25">
      <c r="D152">
        <v>545</v>
      </c>
      <c r="E152" s="1" t="s">
        <v>291</v>
      </c>
      <c r="F152">
        <v>6</v>
      </c>
      <c r="G152">
        <v>140</v>
      </c>
      <c r="H152">
        <v>341000</v>
      </c>
      <c r="I152" s="1" t="s">
        <v>292</v>
      </c>
      <c r="J152">
        <v>2.2551898956298801</v>
      </c>
    </row>
    <row r="153" spans="4:10" x14ac:dyDescent="0.25">
      <c r="D153">
        <v>546</v>
      </c>
      <c r="E153" s="1" t="s">
        <v>293</v>
      </c>
      <c r="F153">
        <v>8</v>
      </c>
      <c r="G153">
        <v>220</v>
      </c>
      <c r="H153">
        <v>168000</v>
      </c>
      <c r="I153" s="1" t="s">
        <v>294</v>
      </c>
      <c r="J153">
        <v>2.2331399917602499</v>
      </c>
    </row>
    <row r="154" spans="4:10" x14ac:dyDescent="0.25">
      <c r="D154">
        <v>547</v>
      </c>
      <c r="E154" s="1" t="s">
        <v>295</v>
      </c>
      <c r="F154">
        <v>11</v>
      </c>
      <c r="G154">
        <v>330</v>
      </c>
      <c r="H154">
        <v>72600</v>
      </c>
      <c r="I154" s="1" t="s">
        <v>296</v>
      </c>
      <c r="J154">
        <v>2.23225998878479</v>
      </c>
    </row>
    <row r="155" spans="4:10" x14ac:dyDescent="0.25">
      <c r="D155">
        <v>551</v>
      </c>
      <c r="E155" s="1" t="s">
        <v>297</v>
      </c>
      <c r="F155">
        <v>33</v>
      </c>
      <c r="G155">
        <v>950</v>
      </c>
      <c r="H155">
        <v>101000</v>
      </c>
      <c r="I155" s="1" t="s">
        <v>298</v>
      </c>
      <c r="J155">
        <v>2.2064299583435099</v>
      </c>
    </row>
    <row r="156" spans="4:10" x14ac:dyDescent="0.25">
      <c r="D156">
        <v>552</v>
      </c>
      <c r="E156" s="1" t="s">
        <v>299</v>
      </c>
      <c r="F156">
        <v>8</v>
      </c>
      <c r="G156">
        <v>230</v>
      </c>
      <c r="H156">
        <v>101000</v>
      </c>
      <c r="I156" s="1" t="s">
        <v>298</v>
      </c>
      <c r="J156">
        <v>2.2043199539184601</v>
      </c>
    </row>
    <row r="157" spans="4:10" x14ac:dyDescent="0.25">
      <c r="D157">
        <v>553</v>
      </c>
      <c r="E157" s="1" t="s">
        <v>300</v>
      </c>
      <c r="F157">
        <v>10</v>
      </c>
      <c r="G157">
        <v>300</v>
      </c>
      <c r="H157">
        <v>43200</v>
      </c>
      <c r="I157" s="1" t="s">
        <v>301</v>
      </c>
      <c r="J157">
        <v>2.1890299320220898</v>
      </c>
    </row>
    <row r="158" spans="4:10" x14ac:dyDescent="0.25">
      <c r="D158">
        <v>554</v>
      </c>
      <c r="E158" s="1" t="s">
        <v>302</v>
      </c>
      <c r="F158">
        <v>20</v>
      </c>
      <c r="G158">
        <v>540</v>
      </c>
      <c r="H158">
        <v>154000</v>
      </c>
      <c r="I158" s="1" t="s">
        <v>303</v>
      </c>
      <c r="J158">
        <v>2.1846799850463898</v>
      </c>
    </row>
    <row r="159" spans="4:10" x14ac:dyDescent="0.25">
      <c r="D159">
        <v>555</v>
      </c>
      <c r="E159" s="1" t="s">
        <v>304</v>
      </c>
      <c r="F159">
        <v>14</v>
      </c>
      <c r="G159">
        <v>400</v>
      </c>
      <c r="H159">
        <v>90700</v>
      </c>
      <c r="I159" s="1" t="s">
        <v>305</v>
      </c>
      <c r="J159">
        <v>2.1792199611663801</v>
      </c>
    </row>
    <row r="160" spans="4:10" x14ac:dyDescent="0.25">
      <c r="D160">
        <v>556</v>
      </c>
      <c r="E160" s="1" t="s">
        <v>306</v>
      </c>
      <c r="F160">
        <v>9</v>
      </c>
      <c r="G160">
        <v>230</v>
      </c>
      <c r="H160">
        <v>195000</v>
      </c>
      <c r="I160" s="1" t="s">
        <v>307</v>
      </c>
      <c r="J160">
        <v>2.1644198894500701</v>
      </c>
    </row>
    <row r="161" spans="4:10" x14ac:dyDescent="0.25">
      <c r="D161">
        <v>566</v>
      </c>
      <c r="E161" s="1" t="s">
        <v>308</v>
      </c>
      <c r="F161">
        <v>14</v>
      </c>
      <c r="G161">
        <v>340</v>
      </c>
      <c r="H161">
        <v>198000</v>
      </c>
      <c r="I161" s="1" t="s">
        <v>309</v>
      </c>
      <c r="J161">
        <v>2.09804010391235</v>
      </c>
    </row>
    <row r="162" spans="4:10" x14ac:dyDescent="0.25">
      <c r="D162">
        <v>567</v>
      </c>
      <c r="E162" s="1" t="s">
        <v>310</v>
      </c>
      <c r="F162">
        <v>7</v>
      </c>
      <c r="G162">
        <v>170</v>
      </c>
      <c r="H162">
        <v>193000</v>
      </c>
      <c r="I162" s="1" t="s">
        <v>190</v>
      </c>
      <c r="J162">
        <v>2.0906798839569101</v>
      </c>
    </row>
    <row r="163" spans="4:10" x14ac:dyDescent="0.25">
      <c r="D163">
        <v>568</v>
      </c>
      <c r="E163" s="1" t="s">
        <v>311</v>
      </c>
      <c r="F163">
        <v>10</v>
      </c>
      <c r="G163">
        <v>210</v>
      </c>
      <c r="H163">
        <v>312000</v>
      </c>
      <c r="I163" s="1" t="s">
        <v>91</v>
      </c>
      <c r="J163">
        <v>2.0824599266052202</v>
      </c>
    </row>
    <row r="164" spans="4:10" x14ac:dyDescent="0.25">
      <c r="D164">
        <v>569</v>
      </c>
      <c r="E164" s="1" t="s">
        <v>312</v>
      </c>
      <c r="F164">
        <v>7</v>
      </c>
      <c r="G164">
        <v>200</v>
      </c>
      <c r="H164">
        <v>20300</v>
      </c>
      <c r="I164" s="1" t="s">
        <v>313</v>
      </c>
      <c r="J164">
        <v>2.0757100582122798</v>
      </c>
    </row>
    <row r="165" spans="4:10" x14ac:dyDescent="0.25">
      <c r="D165">
        <v>570</v>
      </c>
      <c r="E165" s="1" t="s">
        <v>314</v>
      </c>
      <c r="F165">
        <v>11</v>
      </c>
      <c r="G165">
        <v>310</v>
      </c>
      <c r="H165">
        <v>34000</v>
      </c>
      <c r="I165" s="1" t="s">
        <v>315</v>
      </c>
      <c r="J165">
        <v>2.0741300582885698</v>
      </c>
    </row>
    <row r="166" spans="4:10" x14ac:dyDescent="0.25">
      <c r="D166">
        <v>571</v>
      </c>
      <c r="E166" s="1" t="s">
        <v>316</v>
      </c>
      <c r="F166">
        <v>8</v>
      </c>
      <c r="G166">
        <v>210</v>
      </c>
      <c r="H166">
        <v>94400</v>
      </c>
      <c r="I166" s="1" t="s">
        <v>317</v>
      </c>
      <c r="J166">
        <v>2.0552299022674601</v>
      </c>
    </row>
    <row r="167" spans="4:10" x14ac:dyDescent="0.25">
      <c r="D167">
        <v>572</v>
      </c>
      <c r="E167" s="1" t="s">
        <v>318</v>
      </c>
      <c r="F167">
        <v>6</v>
      </c>
      <c r="G167">
        <v>120</v>
      </c>
      <c r="H167">
        <v>321000</v>
      </c>
      <c r="I167" s="1" t="s">
        <v>319</v>
      </c>
      <c r="J167">
        <v>2.0399401187896702</v>
      </c>
    </row>
    <row r="168" spans="4:10" x14ac:dyDescent="0.25">
      <c r="D168">
        <v>573</v>
      </c>
      <c r="E168" s="1" t="s">
        <v>320</v>
      </c>
      <c r="F168">
        <v>8</v>
      </c>
      <c r="G168">
        <v>170</v>
      </c>
      <c r="H168">
        <v>269000</v>
      </c>
      <c r="I168" s="1" t="s">
        <v>321</v>
      </c>
      <c r="J168">
        <v>2.0331699848175</v>
      </c>
    </row>
    <row r="169" spans="4:10" x14ac:dyDescent="0.25">
      <c r="D169">
        <v>574</v>
      </c>
      <c r="E169" s="1" t="s">
        <v>322</v>
      </c>
      <c r="F169">
        <v>8</v>
      </c>
      <c r="G169">
        <v>210</v>
      </c>
      <c r="H169">
        <v>76400</v>
      </c>
      <c r="I169" s="1" t="s">
        <v>323</v>
      </c>
      <c r="J169">
        <v>2.02876996994019</v>
      </c>
    </row>
    <row r="170" spans="4:10" x14ac:dyDescent="0.25">
      <c r="D170">
        <v>575</v>
      </c>
      <c r="E170" s="1" t="s">
        <v>324</v>
      </c>
      <c r="F170">
        <v>19</v>
      </c>
      <c r="G170">
        <v>500</v>
      </c>
      <c r="H170">
        <v>61200</v>
      </c>
      <c r="I170" s="1" t="s">
        <v>325</v>
      </c>
      <c r="J170">
        <v>2.0100901126861599</v>
      </c>
    </row>
    <row r="171" spans="4:10" x14ac:dyDescent="0.25">
      <c r="D171">
        <v>577</v>
      </c>
      <c r="E171" s="1" t="s">
        <v>326</v>
      </c>
      <c r="F171">
        <v>5</v>
      </c>
      <c r="G171">
        <v>120</v>
      </c>
      <c r="H171">
        <v>116000</v>
      </c>
      <c r="I171" s="1" t="s">
        <v>327</v>
      </c>
      <c r="J171">
        <v>1.9615399837493901</v>
      </c>
    </row>
    <row r="172" spans="4:10" x14ac:dyDescent="0.25">
      <c r="D172">
        <v>578</v>
      </c>
      <c r="E172" s="1" t="s">
        <v>328</v>
      </c>
      <c r="F172">
        <v>9</v>
      </c>
      <c r="G172">
        <v>220</v>
      </c>
      <c r="H172">
        <v>98800</v>
      </c>
      <c r="I172" s="1" t="s">
        <v>329</v>
      </c>
      <c r="J172">
        <v>1.9610300064086901</v>
      </c>
    </row>
    <row r="173" spans="4:10" x14ac:dyDescent="0.25">
      <c r="D173">
        <v>579</v>
      </c>
      <c r="E173" s="1" t="s">
        <v>330</v>
      </c>
      <c r="F173">
        <v>11</v>
      </c>
      <c r="G173">
        <v>280</v>
      </c>
      <c r="H173">
        <v>56100</v>
      </c>
      <c r="I173" s="1" t="s">
        <v>331</v>
      </c>
      <c r="J173">
        <v>1.9545700550079299</v>
      </c>
    </row>
    <row r="174" spans="4:10" x14ac:dyDescent="0.25">
      <c r="D174">
        <v>580</v>
      </c>
      <c r="E174" s="1" t="s">
        <v>332</v>
      </c>
      <c r="F174">
        <v>13</v>
      </c>
      <c r="G174">
        <v>300</v>
      </c>
      <c r="H174">
        <v>131000</v>
      </c>
      <c r="I174" s="1" t="s">
        <v>333</v>
      </c>
      <c r="J174">
        <v>1.93212997913361</v>
      </c>
    </row>
    <row r="175" spans="4:10" x14ac:dyDescent="0.25">
      <c r="D175">
        <v>581</v>
      </c>
      <c r="E175" s="1" t="s">
        <v>334</v>
      </c>
      <c r="F175">
        <v>10</v>
      </c>
      <c r="G175">
        <v>250</v>
      </c>
      <c r="H175">
        <v>53400</v>
      </c>
      <c r="I175" s="1" t="s">
        <v>335</v>
      </c>
      <c r="J175">
        <v>1.92525994777679</v>
      </c>
    </row>
    <row r="176" spans="4:10" x14ac:dyDescent="0.25">
      <c r="D176">
        <v>582</v>
      </c>
      <c r="E176" s="1" t="s">
        <v>336</v>
      </c>
      <c r="F176">
        <v>6</v>
      </c>
      <c r="G176">
        <v>140</v>
      </c>
      <c r="H176">
        <v>107000</v>
      </c>
      <c r="I176" s="1" t="s">
        <v>337</v>
      </c>
      <c r="J176">
        <v>1.9111399650573699</v>
      </c>
    </row>
    <row r="177" spans="4:10" x14ac:dyDescent="0.25">
      <c r="D177">
        <v>583</v>
      </c>
      <c r="E177" s="1" t="s">
        <v>338</v>
      </c>
      <c r="F177">
        <v>6</v>
      </c>
      <c r="G177">
        <v>140</v>
      </c>
      <c r="H177">
        <v>95400</v>
      </c>
      <c r="I177" s="1" t="s">
        <v>339</v>
      </c>
      <c r="J177">
        <v>1.8940900564193699</v>
      </c>
    </row>
    <row r="178" spans="4:10" x14ac:dyDescent="0.25">
      <c r="D178">
        <v>586</v>
      </c>
      <c r="E178" s="1" t="s">
        <v>340</v>
      </c>
      <c r="F178">
        <v>7</v>
      </c>
      <c r="G178">
        <v>160</v>
      </c>
      <c r="H178">
        <v>95600</v>
      </c>
      <c r="I178" s="1" t="s">
        <v>341</v>
      </c>
      <c r="J178">
        <v>1.86783003807068</v>
      </c>
    </row>
    <row r="179" spans="4:10" x14ac:dyDescent="0.25">
      <c r="D179">
        <v>587</v>
      </c>
      <c r="E179" s="1" t="s">
        <v>342</v>
      </c>
      <c r="F179">
        <v>12</v>
      </c>
      <c r="G179">
        <v>280</v>
      </c>
      <c r="H179">
        <v>76900</v>
      </c>
      <c r="I179" s="1" t="s">
        <v>343</v>
      </c>
      <c r="J179">
        <v>1.8668899536132799</v>
      </c>
    </row>
    <row r="180" spans="4:10" x14ac:dyDescent="0.25">
      <c r="D180">
        <v>592</v>
      </c>
      <c r="E180" s="1" t="s">
        <v>344</v>
      </c>
      <c r="F180">
        <v>11</v>
      </c>
      <c r="G180">
        <v>240</v>
      </c>
      <c r="H180">
        <v>71000</v>
      </c>
      <c r="I180" s="1" t="s">
        <v>345</v>
      </c>
      <c r="J180">
        <v>1.7737300395965601</v>
      </c>
    </row>
    <row r="181" spans="4:10" x14ac:dyDescent="0.25">
      <c r="D181">
        <v>593</v>
      </c>
      <c r="E181" s="1" t="s">
        <v>346</v>
      </c>
      <c r="F181">
        <v>9</v>
      </c>
      <c r="G181">
        <v>200</v>
      </c>
      <c r="H181">
        <v>46800</v>
      </c>
      <c r="I181" s="1" t="s">
        <v>347</v>
      </c>
      <c r="J181">
        <v>1.7606799602508501</v>
      </c>
    </row>
    <row r="182" spans="4:10" x14ac:dyDescent="0.25">
      <c r="D182">
        <v>594</v>
      </c>
      <c r="E182" s="1" t="s">
        <v>348</v>
      </c>
      <c r="F182">
        <v>7</v>
      </c>
      <c r="G182">
        <v>160</v>
      </c>
      <c r="H182">
        <v>17000</v>
      </c>
      <c r="I182" s="1" t="s">
        <v>349</v>
      </c>
      <c r="J182">
        <v>1.75226998329163</v>
      </c>
    </row>
    <row r="183" spans="4:10" x14ac:dyDescent="0.25">
      <c r="D183">
        <v>595</v>
      </c>
      <c r="E183" s="1" t="s">
        <v>350</v>
      </c>
      <c r="F183">
        <v>11</v>
      </c>
      <c r="G183">
        <v>230</v>
      </c>
      <c r="H183">
        <v>88700</v>
      </c>
      <c r="I183" s="1" t="s">
        <v>351</v>
      </c>
      <c r="J183">
        <v>1.7490700483322099</v>
      </c>
    </row>
    <row r="184" spans="4:10" x14ac:dyDescent="0.25">
      <c r="D184">
        <v>596</v>
      </c>
      <c r="E184" s="1" t="s">
        <v>352</v>
      </c>
      <c r="F184">
        <v>10</v>
      </c>
      <c r="G184">
        <v>220</v>
      </c>
      <c r="H184">
        <v>20600</v>
      </c>
      <c r="I184" s="1" t="s">
        <v>353</v>
      </c>
      <c r="J184">
        <v>1.7097699642181401</v>
      </c>
    </row>
    <row r="185" spans="4:10" x14ac:dyDescent="0.25">
      <c r="D185">
        <v>597</v>
      </c>
      <c r="E185" s="1" t="s">
        <v>354</v>
      </c>
      <c r="F185">
        <v>7</v>
      </c>
      <c r="G185">
        <v>140</v>
      </c>
      <c r="H185">
        <v>94000</v>
      </c>
      <c r="I185" s="1" t="s">
        <v>355</v>
      </c>
      <c r="J185">
        <v>1.7061799764633201</v>
      </c>
    </row>
    <row r="186" spans="4:10" x14ac:dyDescent="0.25">
      <c r="D186">
        <v>598</v>
      </c>
      <c r="E186" s="1" t="s">
        <v>356</v>
      </c>
      <c r="F186">
        <v>7</v>
      </c>
      <c r="G186">
        <v>150</v>
      </c>
      <c r="H186">
        <v>31900</v>
      </c>
      <c r="I186" s="1" t="s">
        <v>357</v>
      </c>
      <c r="J186">
        <v>1.69451999664307</v>
      </c>
    </row>
    <row r="187" spans="4:10" x14ac:dyDescent="0.25">
      <c r="D187">
        <v>599</v>
      </c>
      <c r="E187" s="1" t="s">
        <v>358</v>
      </c>
      <c r="F187">
        <v>6</v>
      </c>
      <c r="G187">
        <v>130</v>
      </c>
      <c r="H187">
        <v>17900</v>
      </c>
      <c r="I187" s="1" t="s">
        <v>280</v>
      </c>
      <c r="J187">
        <v>1.6872099637985201</v>
      </c>
    </row>
    <row r="188" spans="4:10" x14ac:dyDescent="0.25">
      <c r="D188">
        <v>600</v>
      </c>
      <c r="E188" s="1" t="s">
        <v>359</v>
      </c>
      <c r="F188">
        <v>6</v>
      </c>
      <c r="G188">
        <v>130</v>
      </c>
      <c r="H188">
        <v>8340</v>
      </c>
      <c r="I188" s="1" t="s">
        <v>360</v>
      </c>
      <c r="J188">
        <v>1.6731599569320701</v>
      </c>
    </row>
    <row r="189" spans="4:10" x14ac:dyDescent="0.25">
      <c r="D189">
        <v>603</v>
      </c>
      <c r="E189" s="1" t="s">
        <v>361</v>
      </c>
      <c r="F189">
        <v>5</v>
      </c>
      <c r="G189">
        <v>100</v>
      </c>
      <c r="H189">
        <v>68100</v>
      </c>
      <c r="I189" s="1" t="s">
        <v>362</v>
      </c>
      <c r="J189">
        <v>1.6680999994278001</v>
      </c>
    </row>
    <row r="190" spans="4:10" x14ac:dyDescent="0.25">
      <c r="D190">
        <v>604</v>
      </c>
      <c r="E190" s="1" t="s">
        <v>363</v>
      </c>
      <c r="F190">
        <v>10</v>
      </c>
      <c r="G190">
        <v>200</v>
      </c>
      <c r="H190">
        <v>24300</v>
      </c>
      <c r="I190" s="1" t="s">
        <v>364</v>
      </c>
      <c r="J190">
        <v>1.6037000417709399</v>
      </c>
    </row>
    <row r="191" spans="4:10" x14ac:dyDescent="0.25">
      <c r="D191">
        <v>605</v>
      </c>
      <c r="E191" s="1" t="s">
        <v>365</v>
      </c>
      <c r="F191">
        <v>6</v>
      </c>
      <c r="G191">
        <v>120</v>
      </c>
      <c r="H191">
        <v>16100</v>
      </c>
      <c r="I191" s="1" t="s">
        <v>366</v>
      </c>
      <c r="J191">
        <v>1.5916500091552701</v>
      </c>
    </row>
    <row r="192" spans="4:10" x14ac:dyDescent="0.25">
      <c r="D192">
        <v>606</v>
      </c>
      <c r="E192" s="1" t="s">
        <v>367</v>
      </c>
      <c r="F192">
        <v>6</v>
      </c>
      <c r="G192">
        <v>120</v>
      </c>
      <c r="H192">
        <v>15900</v>
      </c>
      <c r="I192" s="1" t="s">
        <v>368</v>
      </c>
      <c r="J192">
        <v>1.5913499593734699</v>
      </c>
    </row>
    <row r="193" spans="4:10" x14ac:dyDescent="0.25">
      <c r="D193">
        <v>607</v>
      </c>
      <c r="E193" s="1" t="s">
        <v>369</v>
      </c>
      <c r="F193">
        <v>6</v>
      </c>
      <c r="G193">
        <v>120</v>
      </c>
      <c r="H193">
        <v>7290</v>
      </c>
      <c r="I193" s="1" t="s">
        <v>370</v>
      </c>
      <c r="J193">
        <v>1.57869005203247</v>
      </c>
    </row>
    <row r="194" spans="4:10" x14ac:dyDescent="0.25">
      <c r="D194">
        <v>608</v>
      </c>
      <c r="E194" s="1" t="s">
        <v>371</v>
      </c>
      <c r="F194">
        <v>7</v>
      </c>
      <c r="G194">
        <v>140</v>
      </c>
      <c r="H194">
        <v>1330</v>
      </c>
      <c r="I194" s="1" t="s">
        <v>372</v>
      </c>
      <c r="J194">
        <v>1.56992995738983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5C6ED-9731-4099-9D07-BA8A559B93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DirectorRating</vt:lpstr>
      <vt:lpstr>(DR)EDA</vt:lpstr>
      <vt:lpstr>ActorRanking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2021-08-23T20:03:29Z</dcterms:modified>
</cp:coreProperties>
</file>